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ras" sheetId="1" state="visible" r:id="rId3"/>
    <sheet name="Produtos" sheetId="2" state="visible" r:id="rId4"/>
    <sheet name="Produtos_Cosif" sheetId="3" state="visible" r:id="rId5"/>
    <sheet name="Grupos_COSIF" sheetId="4" state="visible" r:id="rId6"/>
  </sheets>
  <definedNames>
    <definedName function="false" hidden="true" localSheetId="2" name="_xlnm._FilterDatabase" vbProcedure="false">Produtos_Cosif!$A$4:$L$37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A = ativo, I = inativo (premissa do projeto; o enunciado nao define os valores).</t>
        </r>
      </text>
    </comment>
    <comment ref="D4" authorId="0">
      <text>
        <r>
          <rPr>
            <sz val="10"/>
            <rFont val="Arial"/>
            <family val="2"/>
          </rPr>
          <t xml:space="preserve">data.sql = carga inicial do back-end (permanente). script 07 = docs/sql/07-novos-produtos-e-cosifs.sql (some ao reiniciar).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Codigos ILUSTRATIVOS: seguem a logica do 1o digito do plano COSIF, mas nao sao contas reais.</t>
        </r>
      </text>
    </comment>
    <comment ref="C4" authorId="0">
      <text>
        <r>
          <rPr>
            <sz val="10"/>
            <rFont val="Arial"/>
            <family val="2"/>
          </rPr>
          <t xml:space="preserve">Ate 6 caracteres. Neste projeto: ATIVO, PASSIV, RECEIT, DESPES (natureza da conta). O enunciado nao define os valores.</t>
        </r>
      </text>
    </comment>
  </commentList>
</comments>
</file>

<file path=xl/sharedStrings.xml><?xml version="1.0" encoding="utf-8"?>
<sst xmlns="http://schemas.openxmlformats.org/spreadsheetml/2006/main" count="242" uniqueCount="152">
  <si>
    <t xml:space="preserve">Regras para cadastrar produtos e contas</t>
  </si>
  <si>
    <t xml:space="preserve">Resumo do modelo e de como usar esta planilha.</t>
  </si>
  <si>
    <t xml:space="preserve">COMO USAR</t>
  </si>
  <si>
    <t xml:space="preserve">1. Editar</t>
  </si>
  <si>
    <t xml:space="preserve">Preencha as celulas em azul (fundo amarelo) nas abas Produtos e Produtos_Cosif. Ha linhas em branco no fim de cada tabela.</t>
  </si>
  <si>
    <t xml:space="preserve">2. Conferir</t>
  </si>
  <si>
    <t xml:space="preserve">A coluna Validacao deve mostrar OK em todas as linhas antes de gerar o SQL.</t>
  </si>
  <si>
    <t xml:space="preserve">3. Gerar SQL</t>
  </si>
  <si>
    <t xml:space="preserve">Copie a coluna "SQL para o console do H2" da aba Produtos e depois a da aba Produtos_Cosif, nesta ordem.</t>
  </si>
  <si>
    <t xml:space="preserve">4. Executar</t>
  </si>
  <si>
    <t xml:space="preserve">Cole no console do H2 (http://localhost:8080/h2-console) e clique em Run. Depois aperte F5 na tela do sistema.</t>
  </si>
  <si>
    <t xml:space="preserve">REGRAS DO MODELO</t>
  </si>
  <si>
    <t xml:space="preserve">Ordem</t>
  </si>
  <si>
    <t xml:space="preserve">Primeiro o PRODUTO, depois as contas dele (PRODUTO_COSIF). A chave estrangeira nao deixa ligar conta a produto inexistente.</t>
  </si>
  <si>
    <t xml:space="preserve">COD_PRODUTO</t>
  </si>
  <si>
    <t xml:space="preserve">CHAR(4): exatamente 4 caracteres, ex.: 0006. Nao pode repetir.</t>
  </si>
  <si>
    <t xml:space="preserve">DES_PRODUTO</t>
  </si>
  <si>
    <t xml:space="preserve">VARCHAR(30): ate 30 caracteres. E o texto do combo Produto.</t>
  </si>
  <si>
    <t xml:space="preserve">COD_COSIF</t>
  </si>
  <si>
    <t xml:space="preserve">CHAR(11): 11 digitos, sem pontos.</t>
  </si>
  <si>
    <t xml:space="preserve">COD_CLASSIFICACAO</t>
  </si>
  <si>
    <t xml:space="preserve">CHAR(6): ate 6 caracteres. Aparece no combo como COD_COSIF - (CLASSIFICACAO).</t>
  </si>
  <si>
    <t xml:space="preserve">STA_STATUS</t>
  </si>
  <si>
    <t xml:space="preserve">CHAR(1): A = ativo, I = inativo.</t>
  </si>
  <si>
    <t xml:space="preserve">Chave de PRODUTO_COSIF</t>
  </si>
  <si>
    <t xml:space="preserve">O PAR (COD_PRODUTO, COD_COSIF) nao pode repetir. A mesma conta pode servir a varios produtos.</t>
  </si>
  <si>
    <t xml:space="preserve">Produto sem conta</t>
  </si>
  <si>
    <t xml:space="preserve">Aparece no combo Produto, mas o combo Cosif fica vazio: nao da para lancar nada nele.</t>
  </si>
  <si>
    <t xml:space="preserve">MERGE ... KEY</t>
  </si>
  <si>
    <t xml:space="preserve">Comando do H2 que insere ou atualiza pela chave. O SQL gerado pode ser executado mais de uma vez sem erro.</t>
  </si>
  <si>
    <t xml:space="preserve">PERMANENCIA</t>
  </si>
  <si>
    <t xml:space="preserve">Banco em memoria</t>
  </si>
  <si>
    <t xml:space="preserve">O que for incluido pelo console SOME ao reiniciar o back-end. As linhas com Origem = data.sql voltam sozinhas.</t>
  </si>
  <si>
    <t xml:space="preserve">Deixar permanente</t>
  </si>
  <si>
    <t xml:space="preserve">Acrescente os comandos ao final de backend/src/main/resources/data.sql, trocando "MERGE INTO ... KEY (...)" por "INSERT INTO".</t>
  </si>
  <si>
    <t xml:space="preserve">Atencao aos testes</t>
  </si>
  <si>
    <t xml:space="preserve">O RepositoriosJpaTest espera 4 produtos e 2 contas para o produto 0001 no data.sql. Se acrescentar ao data.sql, ajuste esses numeros.</t>
  </si>
  <si>
    <t xml:space="preserve">LEGENDA DE CORES</t>
  </si>
  <si>
    <t xml:space="preserve">Azul, fundo amarelo</t>
  </si>
  <si>
    <t xml:space="preserve">Dado digitado (editavel).</t>
  </si>
  <si>
    <t xml:space="preserve">Preto</t>
  </si>
  <si>
    <t xml:space="preserve">Formula calculada nesta aba (nao editar).</t>
  </si>
  <si>
    <t xml:space="preserve">Verde</t>
  </si>
  <si>
    <t xml:space="preserve">Formula que busca dados em outra aba (nao editar).</t>
  </si>
  <si>
    <t xml:space="preserve">Observacao</t>
  </si>
  <si>
    <t xml:space="preserve">Os codigos COSIF e as classificacoes sao ILUSTRATIVOS, criados para o desafio. Nao sao contas reais do plano do Banco Central.</t>
  </si>
  <si>
    <t xml:space="preserve">Produtos</t>
  </si>
  <si>
    <t xml:space="preserve">Celulas em azul com fundo amarelo = dados que voce edita. Colunas em preto = formulas (nao editar).</t>
  </si>
  <si>
    <t xml:space="preserve">Código do Produto</t>
  </si>
  <si>
    <t xml:space="preserve">Descrição (DES_PRODUTO)</t>
  </si>
  <si>
    <t xml:space="preserve">Status</t>
  </si>
  <si>
    <t xml:space="preserve">Origem</t>
  </si>
  <si>
    <t xml:space="preserve">Qtd de contas COSIF</t>
  </si>
  <si>
    <t xml:space="preserve">Validação</t>
  </si>
  <si>
    <t xml:space="preserve">SQL para o console do H2</t>
  </si>
  <si>
    <t xml:space="preserve">0001</t>
  </si>
  <si>
    <t xml:space="preserve">CDB Pos-Fixado</t>
  </si>
  <si>
    <t xml:space="preserve">A</t>
  </si>
  <si>
    <t xml:space="preserve">data.sql</t>
  </si>
  <si>
    <t xml:space="preserve">0002</t>
  </si>
  <si>
    <t xml:space="preserve">LCI</t>
  </si>
  <si>
    <t xml:space="preserve">0003</t>
  </si>
  <si>
    <t xml:space="preserve">Emprestimo Consignado</t>
  </si>
  <si>
    <t xml:space="preserve">0004</t>
  </si>
  <si>
    <t xml:space="preserve">Cambio Pronto</t>
  </si>
  <si>
    <t xml:space="preserve">0006</t>
  </si>
  <si>
    <t xml:space="preserve">Poupanca</t>
  </si>
  <si>
    <t xml:space="preserve">script 07</t>
  </si>
  <si>
    <t xml:space="preserve">0007</t>
  </si>
  <si>
    <t xml:space="preserve">Conta Corrente</t>
  </si>
  <si>
    <t xml:space="preserve">0008</t>
  </si>
  <si>
    <t xml:space="preserve">Credito Pessoal</t>
  </si>
  <si>
    <t xml:space="preserve">0009</t>
  </si>
  <si>
    <t xml:space="preserve">Financiamento Imobiliario</t>
  </si>
  <si>
    <t xml:space="preserve">0010</t>
  </si>
  <si>
    <t xml:space="preserve">Fundo de Investimento</t>
  </si>
  <si>
    <t xml:space="preserve">Contas COSIF permitidas por produto (PRODUTO_COSIF)</t>
  </si>
  <si>
    <t xml:space="preserve">Uma linha por par produto + conta. Edite as celulas em azul; as demais sao formulas.</t>
  </si>
  <si>
    <t xml:space="preserve">COSIF (11 dígitos)</t>
  </si>
  <si>
    <t xml:space="preserve">Classificação</t>
  </si>
  <si>
    <t xml:space="preserve">Lógica (por que essa conta)</t>
  </si>
  <si>
    <t xml:space="preserve">Produto</t>
  </si>
  <si>
    <t xml:space="preserve">Grupo COSIF (1º dígito)</t>
  </si>
  <si>
    <t xml:space="preserve">Texto no combo da tela</t>
  </si>
  <si>
    <t xml:space="preserve">Conta compartilhada?</t>
  </si>
  <si>
    <t xml:space="preserve">41510000001</t>
  </si>
  <si>
    <t xml:space="preserve">PASSIV</t>
  </si>
  <si>
    <t xml:space="preserve">CDB e uma divida do banco com o cliente</t>
  </si>
  <si>
    <t xml:space="preserve">81120000002</t>
  </si>
  <si>
    <t xml:space="preserve">DESPES</t>
  </si>
  <si>
    <t xml:space="preserve">Juros que o banco paga no CDB</t>
  </si>
  <si>
    <t xml:space="preserve">41520000003</t>
  </si>
  <si>
    <t xml:space="preserve">LCI e uma divida do banco com o cliente</t>
  </si>
  <si>
    <t xml:space="preserve">16120000004</t>
  </si>
  <si>
    <t xml:space="preserve">ATIVO</t>
  </si>
  <si>
    <t xml:space="preserve">Emprestimo concedido e um direito do banco</t>
  </si>
  <si>
    <t xml:space="preserve">71110000005</t>
  </si>
  <si>
    <t xml:space="preserve">RECEIT</t>
  </si>
  <si>
    <t xml:space="preserve">Juros que o banco recebe no emprestimo</t>
  </si>
  <si>
    <t xml:space="preserve">18810000006</t>
  </si>
  <si>
    <t xml:space="preserve">Direito do banco na operacao de cambio</t>
  </si>
  <si>
    <t xml:space="preserve">71810000007</t>
  </si>
  <si>
    <t xml:space="preserve">Receita da operacao de cambio</t>
  </si>
  <si>
    <t xml:space="preserve">41200000010</t>
  </si>
  <si>
    <t xml:space="preserve">Depositos de poupanca: o dinheiro e do cliente</t>
  </si>
  <si>
    <t xml:space="preserve">81130000011</t>
  </si>
  <si>
    <t xml:space="preserve">Rendimento pago ao cliente da poupanca</t>
  </si>
  <si>
    <t xml:space="preserve">41110000012</t>
  </si>
  <si>
    <t xml:space="preserve">Depositos a vista: saldo do cliente</t>
  </si>
  <si>
    <t xml:space="preserve">71790000013</t>
  </si>
  <si>
    <t xml:space="preserve">Tarifas cobradas na conta</t>
  </si>
  <si>
    <t xml:space="preserve">16110000014</t>
  </si>
  <si>
    <t xml:space="preserve">Valor emprestado a pessoa fisica (direito do banco)</t>
  </si>
  <si>
    <t xml:space="preserve">71120000015</t>
  </si>
  <si>
    <t xml:space="preserve">Juros do credito pessoal</t>
  </si>
  <si>
    <t xml:space="preserve">Mesma conta de juros do consignado (0003), agora compartilhada</t>
  </si>
  <si>
    <t xml:space="preserve">16140000016</t>
  </si>
  <si>
    <t xml:space="preserve">Saldo financiado (direito do banco)</t>
  </si>
  <si>
    <t xml:space="preserve">71140000017</t>
  </si>
  <si>
    <t xml:space="preserve">Juros do financiamento</t>
  </si>
  <si>
    <t xml:space="preserve">71710000018</t>
  </si>
  <si>
    <t xml:space="preserve">Taxa de administracao; o dinheiro aplicado e do fundo</t>
  </si>
  <si>
    <t xml:space="preserve">49910000019</t>
  </si>
  <si>
    <t xml:space="preserve">Impostos a recolher (IOF/IR): conta nova em produto existente</t>
  </si>
  <si>
    <t xml:space="preserve">Grupos do plano COSIF (1º dígito do código)</t>
  </si>
  <si>
    <t xml:space="preserve">Tabela de apoio usada pela coluna "Grupo COSIF" da aba Produtos_Cosif.</t>
  </si>
  <si>
    <t xml:space="preserve">1º dígito</t>
  </si>
  <si>
    <t xml:space="preserve">Grupo</t>
  </si>
  <si>
    <t xml:space="preserve">Exemplo de uso</t>
  </si>
  <si>
    <t xml:space="preserve">1</t>
  </si>
  <si>
    <t xml:space="preserve">Ativo circulante e realizavel a longo prazo</t>
  </si>
  <si>
    <t xml:space="preserve">Emprestimos concedidos</t>
  </si>
  <si>
    <t xml:space="preserve">2</t>
  </si>
  <si>
    <t xml:space="preserve">Ativo permanente</t>
  </si>
  <si>
    <t xml:space="preserve">Imoveis e investimentos do banco</t>
  </si>
  <si>
    <t xml:space="preserve">3</t>
  </si>
  <si>
    <t xml:space="preserve">Compensacao (ativo)</t>
  </si>
  <si>
    <t xml:space="preserve">Controles fora do balanco</t>
  </si>
  <si>
    <t xml:space="preserve">4</t>
  </si>
  <si>
    <t xml:space="preserve">Passivo circulante e exigivel a longo prazo</t>
  </si>
  <si>
    <t xml:space="preserve">Depositos, CDB, LCI, impostos a recolher</t>
  </si>
  <si>
    <t xml:space="preserve">6</t>
  </si>
  <si>
    <t xml:space="preserve">Patrimonio liquido</t>
  </si>
  <si>
    <t xml:space="preserve">Capital social</t>
  </si>
  <si>
    <t xml:space="preserve">7</t>
  </si>
  <si>
    <t xml:space="preserve">Contas de resultado credoras (receitas)</t>
  </si>
  <si>
    <t xml:space="preserve">Juros recebidos, tarifas</t>
  </si>
  <si>
    <t xml:space="preserve">8</t>
  </si>
  <si>
    <t xml:space="preserve">Contas de resultado devedoras (despesas)</t>
  </si>
  <si>
    <t xml:space="preserve">Juros pagos, rendimento da poupanca</t>
  </si>
  <si>
    <t xml:space="preserve">9</t>
  </si>
  <si>
    <t xml:space="preserve">Compensacao (passivo)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</si>
</sst>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6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3A68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9DB"/>
        <bgColor rgb="FFFFFFFF"/>
      </patternFill>
    </fill>
    <fill>
      <patternFill patternType="solid">
        <fgColor rgb="FF1F3A68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E0"/>
      </left>
      <right style="thin">
        <color rgb="FFC9D3E0"/>
      </right>
      <top style="thin">
        <color rgb="FFC9D3E0"/>
      </top>
      <bottom style="thin">
        <color rgb="FFC9D3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A68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C9D3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68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23.85" hidden="false" customHeight="false" outlineLevel="0" collapsed="false">
      <c r="A5" s="5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4" t="s">
        <v>6</v>
      </c>
    </row>
    <row r="7" customFormat="false" ht="15" hidden="false" customHeight="false" outlineLevel="0" collapsed="false">
      <c r="A7" s="5" t="s">
        <v>7</v>
      </c>
      <c r="B7" s="4" t="s">
        <v>8</v>
      </c>
    </row>
    <row r="8" customFormat="false" ht="15" hidden="false" customHeight="false" outlineLevel="0" collapsed="false">
      <c r="A8" s="5" t="s">
        <v>9</v>
      </c>
      <c r="B8" s="4" t="s">
        <v>10</v>
      </c>
    </row>
    <row r="9" customFormat="false" ht="15" hidden="false" customHeight="false" outlineLevel="0" collapsed="false">
      <c r="A9" s="3"/>
      <c r="B9" s="4"/>
    </row>
    <row r="10" customFormat="false" ht="15" hidden="false" customHeight="false" outlineLevel="0" collapsed="false">
      <c r="A10" s="3" t="s">
        <v>11</v>
      </c>
      <c r="B10" s="4"/>
    </row>
    <row r="11" customFormat="false" ht="23.85" hidden="false" customHeight="false" outlineLevel="0" collapsed="false">
      <c r="A11" s="5" t="s">
        <v>12</v>
      </c>
      <c r="B11" s="4" t="s">
        <v>13</v>
      </c>
    </row>
    <row r="12" customFormat="false" ht="15" hidden="false" customHeight="false" outlineLevel="0" collapsed="false">
      <c r="A12" s="5" t="s">
        <v>14</v>
      </c>
      <c r="B12" s="4" t="s">
        <v>15</v>
      </c>
    </row>
    <row r="13" customFormat="false" ht="15" hidden="false" customHeight="false" outlineLevel="0" collapsed="false">
      <c r="A13" s="5" t="s">
        <v>16</v>
      </c>
      <c r="B13" s="4" t="s">
        <v>17</v>
      </c>
    </row>
    <row r="14" customFormat="false" ht="15" hidden="false" customHeight="false" outlineLevel="0" collapsed="false">
      <c r="A14" s="5" t="s">
        <v>18</v>
      </c>
      <c r="B14" s="4" t="s">
        <v>19</v>
      </c>
    </row>
    <row r="15" customFormat="false" ht="15" hidden="false" customHeight="false" outlineLevel="0" collapsed="false">
      <c r="A15" s="5" t="s">
        <v>20</v>
      </c>
      <c r="B15" s="4" t="s">
        <v>21</v>
      </c>
    </row>
    <row r="16" customFormat="false" ht="15" hidden="false" customHeight="false" outlineLevel="0" collapsed="false">
      <c r="A16" s="5" t="s">
        <v>22</v>
      </c>
      <c r="B16" s="4" t="s">
        <v>23</v>
      </c>
    </row>
    <row r="17" customFormat="false" ht="15" hidden="false" customHeight="false" outlineLevel="0" collapsed="false">
      <c r="A17" s="5" t="s">
        <v>24</v>
      </c>
      <c r="B17" s="4" t="s">
        <v>25</v>
      </c>
    </row>
    <row r="18" customFormat="false" ht="15" hidden="false" customHeight="false" outlineLevel="0" collapsed="false">
      <c r="A18" s="5" t="s">
        <v>26</v>
      </c>
      <c r="B18" s="4" t="s">
        <v>27</v>
      </c>
    </row>
    <row r="19" customFormat="false" ht="15" hidden="false" customHeight="false" outlineLevel="0" collapsed="false">
      <c r="A19" s="5" t="s">
        <v>28</v>
      </c>
      <c r="B19" s="4" t="s">
        <v>29</v>
      </c>
    </row>
    <row r="20" customFormat="false" ht="15" hidden="false" customHeight="false" outlineLevel="0" collapsed="false">
      <c r="A20" s="3"/>
      <c r="B20" s="4"/>
    </row>
    <row r="21" customFormat="false" ht="15" hidden="false" customHeight="false" outlineLevel="0" collapsed="false">
      <c r="A21" s="3" t="s">
        <v>30</v>
      </c>
      <c r="B21" s="4"/>
    </row>
    <row r="22" customFormat="false" ht="15" hidden="false" customHeight="false" outlineLevel="0" collapsed="false">
      <c r="A22" s="5" t="s">
        <v>31</v>
      </c>
      <c r="B22" s="4" t="s">
        <v>32</v>
      </c>
    </row>
    <row r="23" customFormat="false" ht="23.85" hidden="false" customHeight="false" outlineLevel="0" collapsed="false">
      <c r="A23" s="5" t="s">
        <v>33</v>
      </c>
      <c r="B23" s="4" t="s">
        <v>34</v>
      </c>
    </row>
    <row r="24" customFormat="false" ht="23.85" hidden="false" customHeight="false" outlineLevel="0" collapsed="false">
      <c r="A24" s="5" t="s">
        <v>35</v>
      </c>
      <c r="B24" s="4" t="s">
        <v>36</v>
      </c>
    </row>
    <row r="25" customFormat="false" ht="15" hidden="false" customHeight="false" outlineLevel="0" collapsed="false">
      <c r="A25" s="3"/>
      <c r="B25" s="4"/>
    </row>
    <row r="26" customFormat="false" ht="15" hidden="false" customHeight="false" outlineLevel="0" collapsed="false">
      <c r="A26" s="3" t="s">
        <v>37</v>
      </c>
      <c r="B26" s="4"/>
    </row>
    <row r="27" customFormat="false" ht="15" hidden="false" customHeight="false" outlineLevel="0" collapsed="false">
      <c r="A27" s="6" t="s">
        <v>38</v>
      </c>
      <c r="B27" s="4" t="s">
        <v>39</v>
      </c>
    </row>
    <row r="28" customFormat="false" ht="15" hidden="false" customHeight="false" outlineLevel="0" collapsed="false">
      <c r="A28" s="5" t="s">
        <v>40</v>
      </c>
      <c r="B28" s="4" t="s">
        <v>41</v>
      </c>
    </row>
    <row r="29" customFormat="false" ht="15" hidden="false" customHeight="false" outlineLevel="0" collapsed="false">
      <c r="A29" s="7" t="s">
        <v>42</v>
      </c>
      <c r="B29" s="4" t="s">
        <v>43</v>
      </c>
    </row>
    <row r="30" customFormat="false" ht="15" hidden="false" customHeight="false" outlineLevel="0" collapsed="false">
      <c r="A30" s="3"/>
      <c r="B30" s="4"/>
    </row>
    <row r="31" customFormat="false" ht="23.85" hidden="false" customHeight="false" outlineLevel="0" collapsed="false">
      <c r="A31" s="5" t="s">
        <v>44</v>
      </c>
      <c r="B31" s="4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95"/>
  </cols>
  <sheetData>
    <row r="1" customFormat="false" ht="17.35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4" customFormat="false" ht="30" hidden="false" customHeight="true" outlineLevel="0" collapsed="false">
      <c r="A4" s="8" t="s">
        <v>48</v>
      </c>
      <c r="B4" s="8" t="s">
        <v>49</v>
      </c>
      <c r="C4" s="8" t="s">
        <v>50</v>
      </c>
      <c r="D4" s="8" t="s">
        <v>51</v>
      </c>
      <c r="E4" s="8" t="s">
        <v>52</v>
      </c>
      <c r="F4" s="8" t="s">
        <v>53</v>
      </c>
      <c r="G4" s="8" t="s">
        <v>54</v>
      </c>
    </row>
    <row r="5" customFormat="false" ht="15" hidden="false" customHeight="false" outlineLevel="0" collapsed="false">
      <c r="A5" s="9" t="s">
        <v>55</v>
      </c>
      <c r="B5" s="9" t="s">
        <v>56</v>
      </c>
      <c r="C5" s="9" t="s">
        <v>57</v>
      </c>
      <c r="D5" s="9" t="s">
        <v>58</v>
      </c>
      <c r="E5" s="10" t="n">
        <f aca="false">IF(A5="","",COUNTIF(Produtos_Cosif!$A:$A,A5))</f>
        <v>3</v>
      </c>
      <c r="F5" s="10" t="str">
        <f aca="false">IF(A5="","",IF(AND(LEN(A5)=4,LEN(B5)&lt;=30,LEN(B5)&gt;0,OR(C5="A",C5="I")),IF(E5=0,"Sem conta: combo Cosif vazio","OK"),"Verificar tamanhos/status"))</f>
        <v>OK</v>
      </c>
      <c r="G5" s="10" t="str">
        <f aca="false">IF(A5="","","MERGE INTO PRODUTO (COD_PRODUTO, DES_PRODUTO, STA_STATUS) KEY (COD_PRODUTO) VALUES ('"&amp;A5&amp;"', '"&amp;B5&amp;"', '"&amp;C5&amp;"');")</f>
        <v>MERGE INTO PRODUTO (COD_PRODUTO, DES_PRODUTO, STA_STATUS) KEY (COD_PRODUTO) VALUES ('0001', 'CDB Pos-Fixado', 'A');</v>
      </c>
    </row>
    <row r="6" customFormat="false" ht="15" hidden="false" customHeight="false" outlineLevel="0" collapsed="false">
      <c r="A6" s="9" t="s">
        <v>59</v>
      </c>
      <c r="B6" s="9" t="s">
        <v>60</v>
      </c>
      <c r="C6" s="9" t="s">
        <v>57</v>
      </c>
      <c r="D6" s="9" t="s">
        <v>58</v>
      </c>
      <c r="E6" s="10" t="n">
        <f aca="false">IF(A6="","",COUNTIF(Produtos_Cosif!$A:$A,A6))</f>
        <v>1</v>
      </c>
      <c r="F6" s="10" t="str">
        <f aca="false">IF(A6="","",IF(AND(LEN(A6)=4,LEN(B6)&lt;=30,LEN(B6)&gt;0,OR(C6="A",C6="I")),IF(E6=0,"Sem conta: combo Cosif vazio","OK"),"Verificar tamanhos/status"))</f>
        <v>OK</v>
      </c>
      <c r="G6" s="10" t="str">
        <f aca="false">IF(A6="","","MERGE INTO PRODUTO (COD_PRODUTO, DES_PRODUTO, STA_STATUS) KEY (COD_PRODUTO) VALUES ('"&amp;A6&amp;"', '"&amp;B6&amp;"', '"&amp;C6&amp;"');")</f>
        <v>MERGE INTO PRODUTO (COD_PRODUTO, DES_PRODUTO, STA_STATUS) KEY (COD_PRODUTO) VALUES ('0002', 'LCI', 'A');</v>
      </c>
    </row>
    <row r="7" customFormat="false" ht="15" hidden="false" customHeight="false" outlineLevel="0" collapsed="false">
      <c r="A7" s="9" t="s">
        <v>61</v>
      </c>
      <c r="B7" s="9" t="s">
        <v>62</v>
      </c>
      <c r="C7" s="9" t="s">
        <v>57</v>
      </c>
      <c r="D7" s="9" t="s">
        <v>58</v>
      </c>
      <c r="E7" s="10" t="n">
        <f aca="false">IF(A7="","",COUNTIF(Produtos_Cosif!$A:$A,A7))</f>
        <v>2</v>
      </c>
      <c r="F7" s="10" t="str">
        <f aca="false">IF(A7="","",IF(AND(LEN(A7)=4,LEN(B7)&lt;=30,LEN(B7)&gt;0,OR(C7="A",C7="I")),IF(E7=0,"Sem conta: combo Cosif vazio","OK"),"Verificar tamanhos/status"))</f>
        <v>OK</v>
      </c>
      <c r="G7" s="10" t="str">
        <f aca="false">IF(A7="","","MERGE INTO PRODUTO (COD_PRODUTO, DES_PRODUTO, STA_STATUS) KEY (COD_PRODUTO) VALUES ('"&amp;A7&amp;"', '"&amp;B7&amp;"', '"&amp;C7&amp;"');")</f>
        <v>MERGE INTO PRODUTO (COD_PRODUTO, DES_PRODUTO, STA_STATUS) KEY (COD_PRODUTO) VALUES ('0003', 'Emprestimo Consignado', 'A');</v>
      </c>
    </row>
    <row r="8" customFormat="false" ht="15" hidden="false" customHeight="false" outlineLevel="0" collapsed="false">
      <c r="A8" s="9" t="s">
        <v>63</v>
      </c>
      <c r="B8" s="9" t="s">
        <v>64</v>
      </c>
      <c r="C8" s="9" t="s">
        <v>57</v>
      </c>
      <c r="D8" s="9" t="s">
        <v>58</v>
      </c>
      <c r="E8" s="10" t="n">
        <f aca="false">IF(A8="","",COUNTIF(Produtos_Cosif!$A:$A,A8))</f>
        <v>2</v>
      </c>
      <c r="F8" s="10" t="str">
        <f aca="false">IF(A8="","",IF(AND(LEN(A8)=4,LEN(B8)&lt;=30,LEN(B8)&gt;0,OR(C8="A",C8="I")),IF(E8=0,"Sem conta: combo Cosif vazio","OK"),"Verificar tamanhos/status"))</f>
        <v>OK</v>
      </c>
      <c r="G8" s="10" t="str">
        <f aca="false">IF(A8="","","MERGE INTO PRODUTO (COD_PRODUTO, DES_PRODUTO, STA_STATUS) KEY (COD_PRODUTO) VALUES ('"&amp;A8&amp;"', '"&amp;B8&amp;"', '"&amp;C8&amp;"');")</f>
        <v>MERGE INTO PRODUTO (COD_PRODUTO, DES_PRODUTO, STA_STATUS) KEY (COD_PRODUTO) VALUES ('0004', 'Cambio Pronto', 'A');</v>
      </c>
    </row>
    <row r="9" customFormat="false" ht="15" hidden="false" customHeight="false" outlineLevel="0" collapsed="false">
      <c r="A9" s="9" t="s">
        <v>65</v>
      </c>
      <c r="B9" s="9" t="s">
        <v>66</v>
      </c>
      <c r="C9" s="9" t="s">
        <v>57</v>
      </c>
      <c r="D9" s="9" t="s">
        <v>67</v>
      </c>
      <c r="E9" s="10" t="n">
        <f aca="false">IF(A9="","",COUNTIF(Produtos_Cosif!$A:$A,A9))</f>
        <v>2</v>
      </c>
      <c r="F9" s="10" t="str">
        <f aca="false">IF(A9="","",IF(AND(LEN(A9)=4,LEN(B9)&lt;=30,LEN(B9)&gt;0,OR(C9="A",C9="I")),IF(E9=0,"Sem conta: combo Cosif vazio","OK"),"Verificar tamanhos/status"))</f>
        <v>OK</v>
      </c>
      <c r="G9" s="10" t="str">
        <f aca="false">IF(A9="","","MERGE INTO PRODUTO (COD_PRODUTO, DES_PRODUTO, STA_STATUS) KEY (COD_PRODUTO) VALUES ('"&amp;A9&amp;"', '"&amp;B9&amp;"', '"&amp;C9&amp;"');")</f>
        <v>MERGE INTO PRODUTO (COD_PRODUTO, DES_PRODUTO, STA_STATUS) KEY (COD_PRODUTO) VALUES ('0006', 'Poupanca', 'A');</v>
      </c>
    </row>
    <row r="10" customFormat="false" ht="15" hidden="false" customHeight="false" outlineLevel="0" collapsed="false">
      <c r="A10" s="9" t="s">
        <v>68</v>
      </c>
      <c r="B10" s="9" t="s">
        <v>69</v>
      </c>
      <c r="C10" s="9" t="s">
        <v>57</v>
      </c>
      <c r="D10" s="9" t="s">
        <v>67</v>
      </c>
      <c r="E10" s="10" t="n">
        <f aca="false">IF(A10="","",COUNTIF(Produtos_Cosif!$A:$A,A10))</f>
        <v>2</v>
      </c>
      <c r="F10" s="10" t="str">
        <f aca="false">IF(A10="","",IF(AND(LEN(A10)=4,LEN(B10)&lt;=30,LEN(B10)&gt;0,OR(C10="A",C10="I")),IF(E10=0,"Sem conta: combo Cosif vazio","OK"),"Verificar tamanhos/status"))</f>
        <v>OK</v>
      </c>
      <c r="G10" s="10" t="str">
        <f aca="false">IF(A10="","","MERGE INTO PRODUTO (COD_PRODUTO, DES_PRODUTO, STA_STATUS) KEY (COD_PRODUTO) VALUES ('"&amp;A10&amp;"', '"&amp;B10&amp;"', '"&amp;C10&amp;"');")</f>
        <v>MERGE INTO PRODUTO (COD_PRODUTO, DES_PRODUTO, STA_STATUS) KEY (COD_PRODUTO) VALUES ('0007', 'Conta Corrente', 'A');</v>
      </c>
    </row>
    <row r="11" customFormat="false" ht="15" hidden="false" customHeight="false" outlineLevel="0" collapsed="false">
      <c r="A11" s="9" t="s">
        <v>70</v>
      </c>
      <c r="B11" s="9" t="s">
        <v>71</v>
      </c>
      <c r="C11" s="9" t="s">
        <v>57</v>
      </c>
      <c r="D11" s="9" t="s">
        <v>67</v>
      </c>
      <c r="E11" s="10" t="n">
        <f aca="false">IF(A11="","",COUNTIF(Produtos_Cosif!$A:$A,A11))</f>
        <v>3</v>
      </c>
      <c r="F11" s="10" t="str">
        <f aca="false">IF(A11="","",IF(AND(LEN(A11)=4,LEN(B11)&lt;=30,LEN(B11)&gt;0,OR(C11="A",C11="I")),IF(E11=0,"Sem conta: combo Cosif vazio","OK"),"Verificar tamanhos/status"))</f>
        <v>OK</v>
      </c>
      <c r="G11" s="10" t="str">
        <f aca="false">IF(A11="","","MERGE INTO PRODUTO (COD_PRODUTO, DES_PRODUTO, STA_STATUS) KEY (COD_PRODUTO) VALUES ('"&amp;A11&amp;"', '"&amp;B11&amp;"', '"&amp;C11&amp;"');")</f>
        <v>MERGE INTO PRODUTO (COD_PRODUTO, DES_PRODUTO, STA_STATUS) KEY (COD_PRODUTO) VALUES ('0008', 'Credito Pessoal', 'A');</v>
      </c>
    </row>
    <row r="12" customFormat="false" ht="15" hidden="false" customHeight="false" outlineLevel="0" collapsed="false">
      <c r="A12" s="9" t="s">
        <v>72</v>
      </c>
      <c r="B12" s="9" t="s">
        <v>73</v>
      </c>
      <c r="C12" s="9" t="s">
        <v>57</v>
      </c>
      <c r="D12" s="9" t="s">
        <v>67</v>
      </c>
      <c r="E12" s="10" t="n">
        <f aca="false">IF(A12="","",COUNTIF(Produtos_Cosif!$A:$A,A12))</f>
        <v>2</v>
      </c>
      <c r="F12" s="10" t="str">
        <f aca="false">IF(A12="","",IF(AND(LEN(A12)=4,LEN(B12)&lt;=30,LEN(B12)&gt;0,OR(C12="A",C12="I")),IF(E12=0,"Sem conta: combo Cosif vazio","OK"),"Verificar tamanhos/status"))</f>
        <v>OK</v>
      </c>
      <c r="G12" s="10" t="str">
        <f aca="false">IF(A12="","","MERGE INTO PRODUTO (COD_PRODUTO, DES_PRODUTO, STA_STATUS) KEY (COD_PRODUTO) VALUES ('"&amp;A12&amp;"', '"&amp;B12&amp;"', '"&amp;C12&amp;"');")</f>
        <v>MERGE INTO PRODUTO (COD_PRODUTO, DES_PRODUTO, STA_STATUS) KEY (COD_PRODUTO) VALUES ('0009', 'Financiamento Imobiliario', 'A');</v>
      </c>
    </row>
    <row r="13" customFormat="false" ht="15" hidden="false" customHeight="false" outlineLevel="0" collapsed="false">
      <c r="A13" s="9" t="s">
        <v>74</v>
      </c>
      <c r="B13" s="9" t="s">
        <v>75</v>
      </c>
      <c r="C13" s="9" t="s">
        <v>57</v>
      </c>
      <c r="D13" s="9" t="s">
        <v>67</v>
      </c>
      <c r="E13" s="10" t="n">
        <f aca="false">IF(A13="","",COUNTIF(Produtos_Cosif!$A:$A,A13))</f>
        <v>1</v>
      </c>
      <c r="F13" s="10" t="str">
        <f aca="false">IF(A13="","",IF(AND(LEN(A13)=4,LEN(B13)&lt;=30,LEN(B13)&gt;0,OR(C13="A",C13="I")),IF(E13=0,"Sem conta: combo Cosif vazio","OK"),"Verificar tamanhos/status"))</f>
        <v>OK</v>
      </c>
      <c r="G13" s="10" t="str">
        <f aca="false">IF(A13="","","MERGE INTO PRODUTO (COD_PRODUTO, DES_PRODUTO, STA_STATUS) KEY (COD_PRODUTO) VALUES ('"&amp;A13&amp;"', '"&amp;B13&amp;"', '"&amp;C13&amp;"');")</f>
        <v>MERGE INTO PRODUTO (COD_PRODUTO, DES_PRODUTO, STA_STATUS) KEY (COD_PRODUTO) VALUES ('0010', 'Fundo de Investimento', 'A');</v>
      </c>
    </row>
    <row r="14" customFormat="false" ht="15" hidden="false" customHeight="false" outlineLevel="0" collapsed="false">
      <c r="A14" s="9"/>
      <c r="B14" s="9"/>
      <c r="C14" s="9"/>
      <c r="D14" s="9"/>
      <c r="E14" s="10" t="str">
        <f aca="false">IF(A14="","",COUNTIF(Produtos_Cosif!$A:$A,A14))</f>
        <v/>
      </c>
      <c r="F14" s="10" t="str">
        <f aca="false">IF(A14="","",IF(AND(LEN(A14)=4,LEN(B14)&lt;=30,LEN(B14)&gt;0,OR(C14="A",C14="I")),IF(E14=0,"Sem conta: combo Cosif vazio","OK"),"Verificar tamanhos/status"))</f>
        <v/>
      </c>
      <c r="G14" s="10" t="str">
        <f aca="false">IF(A14="","","MERGE INTO PRODUTO (COD_PRODUTO, DES_PRODUTO, STA_STATUS) KEY (COD_PRODUTO) VALUES ('"&amp;A14&amp;"', '"&amp;B14&amp;"', '"&amp;C14&amp;"');")</f>
        <v/>
      </c>
    </row>
    <row r="15" customFormat="false" ht="15" hidden="false" customHeight="false" outlineLevel="0" collapsed="false">
      <c r="A15" s="9"/>
      <c r="B15" s="9"/>
      <c r="C15" s="9"/>
      <c r="D15" s="9"/>
      <c r="E15" s="10" t="str">
        <f aca="false">IF(A15="","",COUNTIF(Produtos_Cosif!$A:$A,A15))</f>
        <v/>
      </c>
      <c r="F15" s="10" t="str">
        <f aca="false">IF(A15="","",IF(AND(LEN(A15)=4,LEN(B15)&lt;=30,LEN(B15)&gt;0,OR(C15="A",C15="I")),IF(E15=0,"Sem conta: combo Cosif vazio","OK"),"Verificar tamanhos/status"))</f>
        <v/>
      </c>
      <c r="G15" s="10" t="str">
        <f aca="false">IF(A15="","","MERGE INTO PRODUTO (COD_PRODUTO, DES_PRODUTO, STA_STATUS) KEY (COD_PRODUTO) VALUES ('"&amp;A15&amp;"', '"&amp;B15&amp;"', '"&amp;C15&amp;"');")</f>
        <v/>
      </c>
    </row>
    <row r="16" customFormat="false" ht="15" hidden="false" customHeight="false" outlineLevel="0" collapsed="false">
      <c r="A16" s="9"/>
      <c r="B16" s="9"/>
      <c r="C16" s="9"/>
      <c r="D16" s="9"/>
      <c r="E16" s="10" t="str">
        <f aca="false">IF(A16="","",COUNTIF(Produtos_Cosif!$A:$A,A16))</f>
        <v/>
      </c>
      <c r="F16" s="10" t="str">
        <f aca="false">IF(A16="","",IF(AND(LEN(A16)=4,LEN(B16)&lt;=30,LEN(B16)&gt;0,OR(C16="A",C16="I")),IF(E16=0,"Sem conta: combo Cosif vazio","OK"),"Verificar tamanhos/status"))</f>
        <v/>
      </c>
      <c r="G16" s="10" t="str">
        <f aca="false">IF(A16="","","MERGE INTO PRODUTO (COD_PRODUTO, DES_PRODUTO, STA_STATUS) KEY (COD_PRODUTO) VALUES ('"&amp;A16&amp;"', '"&amp;B16&amp;"', '"&amp;C16&amp;"');")</f>
        <v/>
      </c>
    </row>
    <row r="17" customFormat="false" ht="15" hidden="false" customHeight="false" outlineLevel="0" collapsed="false">
      <c r="A17" s="9"/>
      <c r="B17" s="9"/>
      <c r="C17" s="9"/>
      <c r="D17" s="9"/>
      <c r="E17" s="10" t="str">
        <f aca="false">IF(A17="","",COUNTIF(Produtos_Cosif!$A:$A,A17))</f>
        <v/>
      </c>
      <c r="F17" s="10" t="str">
        <f aca="false">IF(A17="","",IF(AND(LEN(A17)=4,LEN(B17)&lt;=30,LEN(B17)&gt;0,OR(C17="A",C17="I")),IF(E17=0,"Sem conta: combo Cosif vazio","OK"),"Verificar tamanhos/status"))</f>
        <v/>
      </c>
      <c r="G17" s="10" t="str">
        <f aca="false">IF(A17="","","MERGE INTO PRODUTO (COD_PRODUTO, DES_PRODUTO, STA_STATUS) KEY (COD_PRODUTO) VALUES ('"&amp;A17&amp;"', '"&amp;B17&amp;"', '"&amp;C17&amp;"');")</f>
        <v/>
      </c>
    </row>
    <row r="18" customFormat="false" ht="15" hidden="false" customHeight="false" outlineLevel="0" collapsed="false">
      <c r="A18" s="9"/>
      <c r="B18" s="9"/>
      <c r="C18" s="9"/>
      <c r="D18" s="9"/>
      <c r="E18" s="10" t="str">
        <f aca="false">IF(A18="","",COUNTIF(Produtos_Cosif!$A:$A,A18))</f>
        <v/>
      </c>
      <c r="F18" s="10" t="str">
        <f aca="false">IF(A18="","",IF(AND(LEN(A18)=4,LEN(B18)&lt;=30,LEN(B18)&gt;0,OR(C18="A",C18="I")),IF(E18=0,"Sem conta: combo Cosif vazio","OK"),"Verificar tamanhos/status"))</f>
        <v/>
      </c>
      <c r="G18" s="10" t="str">
        <f aca="false">IF(A18="","","MERGE INTO PRODUTO (COD_PRODUTO, DES_PRODUTO, STA_STATUS) KEY (COD_PRODUTO) VALUES ('"&amp;A18&amp;"', '"&amp;B18&amp;"', '"&amp;C18&amp;"');")</f>
        <v/>
      </c>
    </row>
    <row r="19" customFormat="false" ht="15" hidden="false" customHeight="false" outlineLevel="0" collapsed="false">
      <c r="A19" s="9"/>
      <c r="B19" s="9"/>
      <c r="C19" s="9"/>
      <c r="D19" s="9"/>
      <c r="E19" s="10" t="str">
        <f aca="false">IF(A19="","",COUNTIF(Produtos_Cosif!$A:$A,A19))</f>
        <v/>
      </c>
      <c r="F19" s="10" t="str">
        <f aca="false">IF(A19="","",IF(AND(LEN(A19)=4,LEN(B19)&lt;=30,LEN(B19)&gt;0,OR(C19="A",C19="I")),IF(E19=0,"Sem conta: combo Cosif vazio","OK"),"Verificar tamanhos/status"))</f>
        <v/>
      </c>
      <c r="G19" s="10" t="str">
        <f aca="false">IF(A19="","","MERGE INTO PRODUTO (COD_PRODUTO, DES_PRODUTO, STA_STATUS) KEY (COD_PRODUTO) VALUES ('"&amp;A19&amp;"', '"&amp;B19&amp;"', '"&amp;C19&amp;"');")</f>
        <v/>
      </c>
    </row>
    <row r="20" customFormat="false" ht="15" hidden="false" customHeight="false" outlineLevel="0" collapsed="false">
      <c r="A20" s="9"/>
      <c r="B20" s="9"/>
      <c r="C20" s="9"/>
      <c r="D20" s="9"/>
      <c r="E20" s="10" t="str">
        <f aca="false">IF(A20="","",COUNTIF(Produtos_Cosif!$A:$A,A20))</f>
        <v/>
      </c>
      <c r="F20" s="10" t="str">
        <f aca="false">IF(A20="","",IF(AND(LEN(A20)=4,LEN(B20)&lt;=30,LEN(B20)&gt;0,OR(C20="A",C20="I")),IF(E20=0,"Sem conta: combo Cosif vazio","OK"),"Verificar tamanhos/status"))</f>
        <v/>
      </c>
      <c r="G20" s="10" t="str">
        <f aca="false">IF(A20="","","MERGE INTO PRODUTO (COD_PRODUTO, DES_PRODUTO, STA_STATUS) KEY (COD_PRODUTO) VALUES ('"&amp;A20&amp;"', '"&amp;B20&amp;"', '"&amp;C20&amp;"');")</f>
        <v/>
      </c>
    </row>
    <row r="21" customFormat="false" ht="15" hidden="false" customHeight="false" outlineLevel="0" collapsed="false">
      <c r="A21" s="9"/>
      <c r="B21" s="9"/>
      <c r="C21" s="9"/>
      <c r="D21" s="9"/>
      <c r="E21" s="10" t="str">
        <f aca="false">IF(A21="","",COUNTIF(Produtos_Cosif!$A:$A,A21))</f>
        <v/>
      </c>
      <c r="F21" s="10" t="str">
        <f aca="false">IF(A21="","",IF(AND(LEN(A21)=4,LEN(B21)&lt;=30,LEN(B21)&gt;0,OR(C21="A",C21="I")),IF(E21=0,"Sem conta: combo Cosif vazio","OK"),"Verificar tamanhos/status"))</f>
        <v/>
      </c>
      <c r="G21" s="10" t="str">
        <f aca="false">IF(A21="","","MERGE INTO PRODUTO (COD_PRODUTO, DES_PRODUTO, STA_STATUS) KEY (COD_PRODUTO) VALUES ('"&amp;A21&amp;"', '"&amp;B21&amp;"', '"&amp;C21&amp;"');")</f>
        <v/>
      </c>
    </row>
    <row r="22" customFormat="false" ht="15" hidden="false" customHeight="false" outlineLevel="0" collapsed="false">
      <c r="A22" s="9"/>
      <c r="B22" s="9"/>
      <c r="C22" s="9"/>
      <c r="D22" s="9"/>
      <c r="E22" s="10" t="str">
        <f aca="false">IF(A22="","",COUNTIF(Produtos_Cosif!$A:$A,A22))</f>
        <v/>
      </c>
      <c r="F22" s="10" t="str">
        <f aca="false">IF(A22="","",IF(AND(LEN(A22)=4,LEN(B22)&lt;=30,LEN(B22)&gt;0,OR(C22="A",C22="I")),IF(E22=0,"Sem conta: combo Cosif vazio","OK"),"Verificar tamanhos/status"))</f>
        <v/>
      </c>
      <c r="G22" s="10" t="str">
        <f aca="false">IF(A22="","","MERGE INTO PRODUTO (COD_PRODUTO, DES_PRODUTO, STA_STATUS) KEY (COD_PRODUTO) VALUES ('"&amp;A22&amp;"', '"&amp;B22&amp;"', '"&amp;C22&amp;"');")</f>
        <v/>
      </c>
    </row>
    <row r="23" customFormat="false" ht="15" hidden="false" customHeight="false" outlineLevel="0" collapsed="false">
      <c r="A23" s="9"/>
      <c r="B23" s="9"/>
      <c r="C23" s="9"/>
      <c r="D23" s="9"/>
      <c r="E23" s="10" t="str">
        <f aca="false">IF(A23="","",COUNTIF(Produtos_Cosif!$A:$A,A23))</f>
        <v/>
      </c>
      <c r="F23" s="10" t="str">
        <f aca="false">IF(A23="","",IF(AND(LEN(A23)=4,LEN(B23)&lt;=30,LEN(B23)&gt;0,OR(C23="A",C23="I")),IF(E23=0,"Sem conta: combo Cosif vazio","OK"),"Verificar tamanhos/status"))</f>
        <v/>
      </c>
      <c r="G23" s="10" t="str">
        <f aca="false">IF(A23="","","MERGE INTO PRODUTO (COD_PRODUTO, DES_PRODUTO, STA_STATUS) KEY (COD_PRODUTO) VALUES ('"&amp;A23&amp;"', '"&amp;B23&amp;"', '"&amp;C23&amp;"');")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46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34"/>
    <col collapsed="false" customWidth="true" hidden="false" outlineLevel="0" max="9" min="9" style="0" width="26"/>
    <col collapsed="false" customWidth="true" hidden="false" outlineLevel="0" max="10" min="10" style="0" width="13"/>
    <col collapsed="false" customWidth="true" hidden="false" outlineLevel="0" max="11" min="11" style="0" width="22"/>
    <col collapsed="false" customWidth="true" hidden="false" outlineLevel="0" max="12" min="12" style="0" width="120"/>
  </cols>
  <sheetData>
    <row r="1" customFormat="false" ht="17.35" hidden="false" customHeight="false" outlineLevel="0" collapsed="false">
      <c r="A1" s="1" t="s">
        <v>76</v>
      </c>
    </row>
    <row r="2" customFormat="false" ht="15" hidden="false" customHeight="false" outlineLevel="0" collapsed="false">
      <c r="A2" s="2" t="s">
        <v>77</v>
      </c>
    </row>
    <row r="4" customFormat="false" ht="30" hidden="false" customHeight="true" outlineLevel="0" collapsed="false">
      <c r="A4" s="8" t="s">
        <v>48</v>
      </c>
      <c r="B4" s="8" t="s">
        <v>78</v>
      </c>
      <c r="C4" s="8" t="s">
        <v>79</v>
      </c>
      <c r="D4" s="8" t="s">
        <v>50</v>
      </c>
      <c r="E4" s="8" t="s">
        <v>80</v>
      </c>
      <c r="F4" s="8" t="s">
        <v>51</v>
      </c>
      <c r="G4" s="8" t="s">
        <v>81</v>
      </c>
      <c r="H4" s="8" t="s">
        <v>82</v>
      </c>
      <c r="I4" s="8" t="s">
        <v>83</v>
      </c>
      <c r="J4" s="8" t="s">
        <v>84</v>
      </c>
      <c r="K4" s="8" t="s">
        <v>53</v>
      </c>
      <c r="L4" s="8" t="s">
        <v>54</v>
      </c>
    </row>
    <row r="5" customFormat="false" ht="23.85" hidden="false" customHeight="false" outlineLevel="0" collapsed="false">
      <c r="A5" s="9" t="s">
        <v>55</v>
      </c>
      <c r="B5" s="9" t="s">
        <v>85</v>
      </c>
      <c r="C5" s="9" t="s">
        <v>86</v>
      </c>
      <c r="D5" s="9" t="s">
        <v>57</v>
      </c>
      <c r="E5" s="11" t="s">
        <v>87</v>
      </c>
      <c r="F5" s="9" t="s">
        <v>58</v>
      </c>
      <c r="G5" s="12" t="str">
        <f aca="false">IF(A5="","",IFERROR(INDEX(Produtos!$B$5:$B$23,MATCH(A5,Produtos!$A$5:$A$23,0)),"Produto nao cadastrado"))</f>
        <v>CDB Pos-Fixado</v>
      </c>
      <c r="H5" s="13" t="str">
        <f aca="false">IF(B5="","",IFERROR(VLOOKUP(LEFT(B5,1),Grupos_COSIF!$A$5:$B$12,2,FALSE()),"Outro"))</f>
        <v>Passivo circulante e exigivel a longo prazo</v>
      </c>
      <c r="I5" s="10" t="str">
        <f aca="false">IF(B5="","",B5&amp;" - ("&amp;TRIM(C5)&amp;")")</f>
        <v>41510000001 - (PASSIV)</v>
      </c>
      <c r="J5" s="10" t="str">
        <f aca="false">IF(B5="","",IF(COUNTIF($B$5:$B$37,B5)&gt;1,"Sim","Nao"))</f>
        <v>Nao</v>
      </c>
      <c r="K5" s="10" t="str">
        <f aca="false">IF(A5="","",IF(G5="Produto nao cadastrado","Cadastre o produto antes",IF(COUNTIFS($A$5:$A$37,A5,$B$5:$B$37,B5)&gt;1,"Par duplicado",IF(AND(LEN(A5)=4,LEN(B5)=11,LEN(C5)&lt;=6,OR(D5="A",D5="I")),"OK","Verificar tamanhos/status"))))</f>
        <v>OK</v>
      </c>
      <c r="L5" s="10" t="str">
        <f aca="false">IF(A5="","","MERGE INTO PRODUTO_COSIF (COD_PRODUTO, COD_COSIF, COD_CLASSIFICACAO, STA_STATUS) KEY (COD_PRODUTO, COD_COSIF) VALUES ('"&amp;A5&amp;"', '"&amp;B5&amp;"', '"&amp;C5&amp;"', '"&amp;D5&amp;"');")</f>
        <v>MERGE INTO PRODUTO_COSIF (COD_PRODUTO, COD_COSIF, COD_CLASSIFICACAO, STA_STATUS) KEY (COD_PRODUTO, COD_COSIF) VALUES ('0001', '41510000001', 'PASSIV', 'A');</v>
      </c>
    </row>
    <row r="6" customFormat="false" ht="23.85" hidden="false" customHeight="false" outlineLevel="0" collapsed="false">
      <c r="A6" s="9" t="s">
        <v>55</v>
      </c>
      <c r="B6" s="9" t="s">
        <v>88</v>
      </c>
      <c r="C6" s="9" t="s">
        <v>89</v>
      </c>
      <c r="D6" s="9" t="s">
        <v>57</v>
      </c>
      <c r="E6" s="11" t="s">
        <v>90</v>
      </c>
      <c r="F6" s="9" t="s">
        <v>58</v>
      </c>
      <c r="G6" s="12" t="str">
        <f aca="false">IF(A6="","",IFERROR(INDEX(Produtos!$B$5:$B$23,MATCH(A6,Produtos!$A$5:$A$23,0)),"Produto nao cadastrado"))</f>
        <v>CDB Pos-Fixado</v>
      </c>
      <c r="H6" s="13" t="str">
        <f aca="false">IF(B6="","",IFERROR(VLOOKUP(LEFT(B6,1),Grupos_COSIF!$A$5:$B$12,2,FALSE()),"Outro"))</f>
        <v>Contas de resultado devedoras (despesas)</v>
      </c>
      <c r="I6" s="10" t="str">
        <f aca="false">IF(B6="","",B6&amp;" - ("&amp;TRIM(C6)&amp;")")</f>
        <v>81120000002 - (DESPES)</v>
      </c>
      <c r="J6" s="10" t="str">
        <f aca="false">IF(B6="","",IF(COUNTIF($B$5:$B$37,B6)&gt;1,"Sim","Nao"))</f>
        <v>Nao</v>
      </c>
      <c r="K6" s="10" t="str">
        <f aca="false">IF(A6="","",IF(G6="Produto nao cadastrado","Cadastre o produto antes",IF(COUNTIFS($A$5:$A$37,A6,$B$5:$B$37,B6)&gt;1,"Par duplicado",IF(AND(LEN(A6)=4,LEN(B6)=11,LEN(C6)&lt;=6,OR(D6="A",D6="I")),"OK","Verificar tamanhos/status"))))</f>
        <v>OK</v>
      </c>
      <c r="L6" s="10" t="str">
        <f aca="false">IF(A6="","","MERGE INTO PRODUTO_COSIF (COD_PRODUTO, COD_COSIF, COD_CLASSIFICACAO, STA_STATUS) KEY (COD_PRODUTO, COD_COSIF) VALUES ('"&amp;A6&amp;"', '"&amp;B6&amp;"', '"&amp;C6&amp;"', '"&amp;D6&amp;"');")</f>
        <v>MERGE INTO PRODUTO_COSIF (COD_PRODUTO, COD_COSIF, COD_CLASSIFICACAO, STA_STATUS) KEY (COD_PRODUTO, COD_COSIF) VALUES ('0001', '81120000002', 'DESPES', 'A');</v>
      </c>
    </row>
    <row r="7" customFormat="false" ht="23.85" hidden="false" customHeight="false" outlineLevel="0" collapsed="false">
      <c r="A7" s="9" t="s">
        <v>59</v>
      </c>
      <c r="B7" s="9" t="s">
        <v>91</v>
      </c>
      <c r="C7" s="9" t="s">
        <v>86</v>
      </c>
      <c r="D7" s="9" t="s">
        <v>57</v>
      </c>
      <c r="E7" s="11" t="s">
        <v>92</v>
      </c>
      <c r="F7" s="9" t="s">
        <v>58</v>
      </c>
      <c r="G7" s="12" t="str">
        <f aca="false">IF(A7="","",IFERROR(INDEX(Produtos!$B$5:$B$23,MATCH(A7,Produtos!$A$5:$A$23,0)),"Produto nao cadastrado"))</f>
        <v>LCI</v>
      </c>
      <c r="H7" s="13" t="str">
        <f aca="false">IF(B7="","",IFERROR(VLOOKUP(LEFT(B7,1),Grupos_COSIF!$A$5:$B$12,2,FALSE()),"Outro"))</f>
        <v>Passivo circulante e exigivel a longo prazo</v>
      </c>
      <c r="I7" s="10" t="str">
        <f aca="false">IF(B7="","",B7&amp;" - ("&amp;TRIM(C7)&amp;")")</f>
        <v>41520000003 - (PASSIV)</v>
      </c>
      <c r="J7" s="10" t="str">
        <f aca="false">IF(B7="","",IF(COUNTIF($B$5:$B$37,B7)&gt;1,"Sim","Nao"))</f>
        <v>Nao</v>
      </c>
      <c r="K7" s="10" t="str">
        <f aca="false">IF(A7="","",IF(G7="Produto nao cadastrado","Cadastre o produto antes",IF(COUNTIFS($A$5:$A$37,A7,$B$5:$B$37,B7)&gt;1,"Par duplicado",IF(AND(LEN(A7)=4,LEN(B7)=11,LEN(C7)&lt;=6,OR(D7="A",D7="I")),"OK","Verificar tamanhos/status"))))</f>
        <v>OK</v>
      </c>
      <c r="L7" s="10" t="str">
        <f aca="false">IF(A7="","","MERGE INTO PRODUTO_COSIF (COD_PRODUTO, COD_COSIF, COD_CLASSIFICACAO, STA_STATUS) KEY (COD_PRODUTO, COD_COSIF) VALUES ('"&amp;A7&amp;"', '"&amp;B7&amp;"', '"&amp;C7&amp;"', '"&amp;D7&amp;"');")</f>
        <v>MERGE INTO PRODUTO_COSIF (COD_PRODUTO, COD_COSIF, COD_CLASSIFICACAO, STA_STATUS) KEY (COD_PRODUTO, COD_COSIF) VALUES ('0002', '41520000003', 'PASSIV', 'A');</v>
      </c>
    </row>
    <row r="8" customFormat="false" ht="15" hidden="false" customHeight="false" outlineLevel="0" collapsed="false">
      <c r="A8" s="9" t="s">
        <v>61</v>
      </c>
      <c r="B8" s="9" t="s">
        <v>93</v>
      </c>
      <c r="C8" s="9" t="s">
        <v>94</v>
      </c>
      <c r="D8" s="9" t="s">
        <v>57</v>
      </c>
      <c r="E8" s="11" t="s">
        <v>95</v>
      </c>
      <c r="F8" s="9" t="s">
        <v>58</v>
      </c>
      <c r="G8" s="12" t="str">
        <f aca="false">IF(A8="","",IFERROR(INDEX(Produtos!$B$5:$B$23,MATCH(A8,Produtos!$A$5:$A$23,0)),"Produto nao cadastrado"))</f>
        <v>Emprestimo Consignado</v>
      </c>
      <c r="H8" s="13" t="str">
        <f aca="false">IF(B8="","",IFERROR(VLOOKUP(LEFT(B8,1),Grupos_COSIF!$A$5:$B$12,2,FALSE()),"Outro"))</f>
        <v>Ativo circulante e realizavel a longo prazo</v>
      </c>
      <c r="I8" s="10" t="str">
        <f aca="false">IF(B8="","",B8&amp;" - ("&amp;TRIM(C8)&amp;")")</f>
        <v>16120000004 - (ATIVO)</v>
      </c>
      <c r="J8" s="10" t="str">
        <f aca="false">IF(B8="","",IF(COUNTIF($B$5:$B$37,B8)&gt;1,"Sim","Nao"))</f>
        <v>Nao</v>
      </c>
      <c r="K8" s="10" t="str">
        <f aca="false">IF(A8="","",IF(G8="Produto nao cadastrado","Cadastre o produto antes",IF(COUNTIFS($A$5:$A$37,A8,$B$5:$B$37,B8)&gt;1,"Par duplicado",IF(AND(LEN(A8)=4,LEN(B8)=11,LEN(C8)&lt;=6,OR(D8="A",D8="I")),"OK","Verificar tamanhos/status"))))</f>
        <v>OK</v>
      </c>
      <c r="L8" s="10" t="str">
        <f aca="false">IF(A8="","","MERGE INTO PRODUTO_COSIF (COD_PRODUTO, COD_COSIF, COD_CLASSIFICACAO, STA_STATUS) KEY (COD_PRODUTO, COD_COSIF) VALUES ('"&amp;A8&amp;"', '"&amp;B8&amp;"', '"&amp;C8&amp;"', '"&amp;D8&amp;"');")</f>
        <v>MERGE INTO PRODUTO_COSIF (COD_PRODUTO, COD_COSIF, COD_CLASSIFICACAO, STA_STATUS) KEY (COD_PRODUTO, COD_COSIF) VALUES ('0003', '16120000004', 'ATIVO', 'A');</v>
      </c>
    </row>
    <row r="9" customFormat="false" ht="15" hidden="false" customHeight="false" outlineLevel="0" collapsed="false">
      <c r="A9" s="9" t="s">
        <v>61</v>
      </c>
      <c r="B9" s="9" t="s">
        <v>96</v>
      </c>
      <c r="C9" s="9" t="s">
        <v>97</v>
      </c>
      <c r="D9" s="9" t="s">
        <v>57</v>
      </c>
      <c r="E9" s="11" t="s">
        <v>98</v>
      </c>
      <c r="F9" s="9" t="s">
        <v>58</v>
      </c>
      <c r="G9" s="12" t="str">
        <f aca="false">IF(A9="","",IFERROR(INDEX(Produtos!$B$5:$B$23,MATCH(A9,Produtos!$A$5:$A$23,0)),"Produto nao cadastrado"))</f>
        <v>Emprestimo Consignado</v>
      </c>
      <c r="H9" s="13" t="str">
        <f aca="false">IF(B9="","",IFERROR(VLOOKUP(LEFT(B9,1),Grupos_COSIF!$A$5:$B$12,2,FALSE()),"Outro"))</f>
        <v>Contas de resultado credoras (receitas)</v>
      </c>
      <c r="I9" s="10" t="str">
        <f aca="false">IF(B9="","",B9&amp;" - ("&amp;TRIM(C9)&amp;")")</f>
        <v>71110000005 - (RECEIT)</v>
      </c>
      <c r="J9" s="10" t="str">
        <f aca="false">IF(B9="","",IF(COUNTIF($B$5:$B$37,B9)&gt;1,"Sim","Nao"))</f>
        <v>Sim</v>
      </c>
      <c r="K9" s="10" t="str">
        <f aca="false">IF(A9="","",IF(G9="Produto nao cadastrado","Cadastre o produto antes",IF(COUNTIFS($A$5:$A$37,A9,$B$5:$B$37,B9)&gt;1,"Par duplicado",IF(AND(LEN(A9)=4,LEN(B9)=11,LEN(C9)&lt;=6,OR(D9="A",D9="I")),"OK","Verificar tamanhos/status"))))</f>
        <v>OK</v>
      </c>
      <c r="L9" s="10" t="str">
        <f aca="false">IF(A9="","","MERGE INTO PRODUTO_COSIF (COD_PRODUTO, COD_COSIF, COD_CLASSIFICACAO, STA_STATUS) KEY (COD_PRODUTO, COD_COSIF) VALUES ('"&amp;A9&amp;"', '"&amp;B9&amp;"', '"&amp;C9&amp;"', '"&amp;D9&amp;"');")</f>
        <v>MERGE INTO PRODUTO_COSIF (COD_PRODUTO, COD_COSIF, COD_CLASSIFICACAO, STA_STATUS) KEY (COD_PRODUTO, COD_COSIF) VALUES ('0003', '71110000005', 'RECEIT', 'A');</v>
      </c>
    </row>
    <row r="10" customFormat="false" ht="15" hidden="false" customHeight="false" outlineLevel="0" collapsed="false">
      <c r="A10" s="9" t="s">
        <v>63</v>
      </c>
      <c r="B10" s="9" t="s">
        <v>99</v>
      </c>
      <c r="C10" s="9" t="s">
        <v>94</v>
      </c>
      <c r="D10" s="9" t="s">
        <v>57</v>
      </c>
      <c r="E10" s="11" t="s">
        <v>100</v>
      </c>
      <c r="F10" s="9" t="s">
        <v>58</v>
      </c>
      <c r="G10" s="12" t="str">
        <f aca="false">IF(A10="","",IFERROR(INDEX(Produtos!$B$5:$B$23,MATCH(A10,Produtos!$A$5:$A$23,0)),"Produto nao cadastrado"))</f>
        <v>Cambio Pronto</v>
      </c>
      <c r="H10" s="13" t="str">
        <f aca="false">IF(B10="","",IFERROR(VLOOKUP(LEFT(B10,1),Grupos_COSIF!$A$5:$B$12,2,FALSE()),"Outro"))</f>
        <v>Ativo circulante e realizavel a longo prazo</v>
      </c>
      <c r="I10" s="10" t="str">
        <f aca="false">IF(B10="","",B10&amp;" - ("&amp;TRIM(C10)&amp;")")</f>
        <v>18810000006 - (ATIVO)</v>
      </c>
      <c r="J10" s="10" t="str">
        <f aca="false">IF(B10="","",IF(COUNTIF($B$5:$B$37,B10)&gt;1,"Sim","Nao"))</f>
        <v>Nao</v>
      </c>
      <c r="K10" s="10" t="str">
        <f aca="false">IF(A10="","",IF(G10="Produto nao cadastrado","Cadastre o produto antes",IF(COUNTIFS($A$5:$A$37,A10,$B$5:$B$37,B10)&gt;1,"Par duplicado",IF(AND(LEN(A10)=4,LEN(B10)=11,LEN(C10)&lt;=6,OR(D10="A",D10="I")),"OK","Verificar tamanhos/status"))))</f>
        <v>OK</v>
      </c>
      <c r="L10" s="10" t="str">
        <f aca="false">IF(A10="","","MERGE INTO PRODUTO_COSIF (COD_PRODUTO, COD_COSIF, COD_CLASSIFICACAO, STA_STATUS) KEY (COD_PRODUTO, COD_COSIF) VALUES ('"&amp;A10&amp;"', '"&amp;B10&amp;"', '"&amp;C10&amp;"', '"&amp;D10&amp;"');")</f>
        <v>MERGE INTO PRODUTO_COSIF (COD_PRODUTO, COD_COSIF, COD_CLASSIFICACAO, STA_STATUS) KEY (COD_PRODUTO, COD_COSIF) VALUES ('0004', '18810000006', 'ATIVO', 'A');</v>
      </c>
    </row>
    <row r="11" customFormat="false" ht="15" hidden="false" customHeight="false" outlineLevel="0" collapsed="false">
      <c r="A11" s="9" t="s">
        <v>63</v>
      </c>
      <c r="B11" s="9" t="s">
        <v>101</v>
      </c>
      <c r="C11" s="9" t="s">
        <v>97</v>
      </c>
      <c r="D11" s="9" t="s">
        <v>57</v>
      </c>
      <c r="E11" s="11" t="s">
        <v>102</v>
      </c>
      <c r="F11" s="9" t="s">
        <v>58</v>
      </c>
      <c r="G11" s="12" t="str">
        <f aca="false">IF(A11="","",IFERROR(INDEX(Produtos!$B$5:$B$23,MATCH(A11,Produtos!$A$5:$A$23,0)),"Produto nao cadastrado"))</f>
        <v>Cambio Pronto</v>
      </c>
      <c r="H11" s="13" t="str">
        <f aca="false">IF(B11="","",IFERROR(VLOOKUP(LEFT(B11,1),Grupos_COSIF!$A$5:$B$12,2,FALSE()),"Outro"))</f>
        <v>Contas de resultado credoras (receitas)</v>
      </c>
      <c r="I11" s="10" t="str">
        <f aca="false">IF(B11="","",B11&amp;" - ("&amp;TRIM(C11)&amp;")")</f>
        <v>71810000007 - (RECEIT)</v>
      </c>
      <c r="J11" s="10" t="str">
        <f aca="false">IF(B11="","",IF(COUNTIF($B$5:$B$37,B11)&gt;1,"Sim","Nao"))</f>
        <v>Nao</v>
      </c>
      <c r="K11" s="10" t="str">
        <f aca="false">IF(A11="","",IF(G11="Produto nao cadastrado","Cadastre o produto antes",IF(COUNTIFS($A$5:$A$37,A11,$B$5:$B$37,B11)&gt;1,"Par duplicado",IF(AND(LEN(A11)=4,LEN(B11)=11,LEN(C11)&lt;=6,OR(D11="A",D11="I")),"OK","Verificar tamanhos/status"))))</f>
        <v>OK</v>
      </c>
      <c r="L11" s="10" t="str">
        <f aca="false">IF(A11="","","MERGE INTO PRODUTO_COSIF (COD_PRODUTO, COD_COSIF, COD_CLASSIFICACAO, STA_STATUS) KEY (COD_PRODUTO, COD_COSIF) VALUES ('"&amp;A11&amp;"', '"&amp;B11&amp;"', '"&amp;C11&amp;"', '"&amp;D11&amp;"');")</f>
        <v>MERGE INTO PRODUTO_COSIF (COD_PRODUTO, COD_COSIF, COD_CLASSIFICACAO, STA_STATUS) KEY (COD_PRODUTO, COD_COSIF) VALUES ('0004', '71810000007', 'RECEIT', 'A');</v>
      </c>
    </row>
    <row r="12" customFormat="false" ht="23.85" hidden="false" customHeight="false" outlineLevel="0" collapsed="false">
      <c r="A12" s="9" t="s">
        <v>65</v>
      </c>
      <c r="B12" s="9" t="s">
        <v>103</v>
      </c>
      <c r="C12" s="9" t="s">
        <v>86</v>
      </c>
      <c r="D12" s="9" t="s">
        <v>57</v>
      </c>
      <c r="E12" s="11" t="s">
        <v>104</v>
      </c>
      <c r="F12" s="9" t="s">
        <v>67</v>
      </c>
      <c r="G12" s="12" t="str">
        <f aca="false">IF(A12="","",IFERROR(INDEX(Produtos!$B$5:$B$23,MATCH(A12,Produtos!$A$5:$A$23,0)),"Produto nao cadastrado"))</f>
        <v>Poupanca</v>
      </c>
      <c r="H12" s="13" t="str">
        <f aca="false">IF(B12="","",IFERROR(VLOOKUP(LEFT(B12,1),Grupos_COSIF!$A$5:$B$12,2,FALSE()),"Outro"))</f>
        <v>Passivo circulante e exigivel a longo prazo</v>
      </c>
      <c r="I12" s="10" t="str">
        <f aca="false">IF(B12="","",B12&amp;" - ("&amp;TRIM(C12)&amp;")")</f>
        <v>41200000010 - (PASSIV)</v>
      </c>
      <c r="J12" s="10" t="str">
        <f aca="false">IF(B12="","",IF(COUNTIF($B$5:$B$37,B12)&gt;1,"Sim","Nao"))</f>
        <v>Nao</v>
      </c>
      <c r="K12" s="10" t="str">
        <f aca="false">IF(A12="","",IF(G12="Produto nao cadastrado","Cadastre o produto antes",IF(COUNTIFS($A$5:$A$37,A12,$B$5:$B$37,B12)&gt;1,"Par duplicado",IF(AND(LEN(A12)=4,LEN(B12)=11,LEN(C12)&lt;=6,OR(D12="A",D12="I")),"OK","Verificar tamanhos/status"))))</f>
        <v>OK</v>
      </c>
      <c r="L12" s="10" t="str">
        <f aca="false">IF(A12="","","MERGE INTO PRODUTO_COSIF (COD_PRODUTO, COD_COSIF, COD_CLASSIFICACAO, STA_STATUS) KEY (COD_PRODUTO, COD_COSIF) VALUES ('"&amp;A12&amp;"', '"&amp;B12&amp;"', '"&amp;C12&amp;"', '"&amp;D12&amp;"');")</f>
        <v>MERGE INTO PRODUTO_COSIF (COD_PRODUTO, COD_COSIF, COD_CLASSIFICACAO, STA_STATUS) KEY (COD_PRODUTO, COD_COSIF) VALUES ('0006', '41200000010', 'PASSIV', 'A');</v>
      </c>
    </row>
    <row r="13" customFormat="false" ht="23.85" hidden="false" customHeight="false" outlineLevel="0" collapsed="false">
      <c r="A13" s="9" t="s">
        <v>65</v>
      </c>
      <c r="B13" s="9" t="s">
        <v>105</v>
      </c>
      <c r="C13" s="9" t="s">
        <v>89</v>
      </c>
      <c r="D13" s="9" t="s">
        <v>57</v>
      </c>
      <c r="E13" s="11" t="s">
        <v>106</v>
      </c>
      <c r="F13" s="9" t="s">
        <v>67</v>
      </c>
      <c r="G13" s="12" t="str">
        <f aca="false">IF(A13="","",IFERROR(INDEX(Produtos!$B$5:$B$23,MATCH(A13,Produtos!$A$5:$A$23,0)),"Produto nao cadastrado"))</f>
        <v>Poupanca</v>
      </c>
      <c r="H13" s="13" t="str">
        <f aca="false">IF(B13="","",IFERROR(VLOOKUP(LEFT(B13,1),Grupos_COSIF!$A$5:$B$12,2,FALSE()),"Outro"))</f>
        <v>Contas de resultado devedoras (despesas)</v>
      </c>
      <c r="I13" s="10" t="str">
        <f aca="false">IF(B13="","",B13&amp;" - ("&amp;TRIM(C13)&amp;")")</f>
        <v>81130000011 - (DESPES)</v>
      </c>
      <c r="J13" s="10" t="str">
        <f aca="false">IF(B13="","",IF(COUNTIF($B$5:$B$37,B13)&gt;1,"Sim","Nao"))</f>
        <v>Nao</v>
      </c>
      <c r="K13" s="10" t="str">
        <f aca="false">IF(A13="","",IF(G13="Produto nao cadastrado","Cadastre o produto antes",IF(COUNTIFS($A$5:$A$37,A13,$B$5:$B$37,B13)&gt;1,"Par duplicado",IF(AND(LEN(A13)=4,LEN(B13)=11,LEN(C13)&lt;=6,OR(D13="A",D13="I")),"OK","Verificar tamanhos/status"))))</f>
        <v>OK</v>
      </c>
      <c r="L13" s="10" t="str">
        <f aca="false">IF(A13="","","MERGE INTO PRODUTO_COSIF (COD_PRODUTO, COD_COSIF, COD_CLASSIFICACAO, STA_STATUS) KEY (COD_PRODUTO, COD_COSIF) VALUES ('"&amp;A13&amp;"', '"&amp;B13&amp;"', '"&amp;C13&amp;"', '"&amp;D13&amp;"');")</f>
        <v>MERGE INTO PRODUTO_COSIF (COD_PRODUTO, COD_COSIF, COD_CLASSIFICACAO, STA_STATUS) KEY (COD_PRODUTO, COD_COSIF) VALUES ('0006', '81130000011', 'DESPES', 'A');</v>
      </c>
    </row>
    <row r="14" customFormat="false" ht="23.85" hidden="false" customHeight="false" outlineLevel="0" collapsed="false">
      <c r="A14" s="9" t="s">
        <v>68</v>
      </c>
      <c r="B14" s="9" t="s">
        <v>107</v>
      </c>
      <c r="C14" s="9" t="s">
        <v>86</v>
      </c>
      <c r="D14" s="9" t="s">
        <v>57</v>
      </c>
      <c r="E14" s="11" t="s">
        <v>108</v>
      </c>
      <c r="F14" s="9" t="s">
        <v>67</v>
      </c>
      <c r="G14" s="12" t="str">
        <f aca="false">IF(A14="","",IFERROR(INDEX(Produtos!$B$5:$B$23,MATCH(A14,Produtos!$A$5:$A$23,0)),"Produto nao cadastrado"))</f>
        <v>Conta Corrente</v>
      </c>
      <c r="H14" s="13" t="str">
        <f aca="false">IF(B14="","",IFERROR(VLOOKUP(LEFT(B14,1),Grupos_COSIF!$A$5:$B$12,2,FALSE()),"Outro"))</f>
        <v>Passivo circulante e exigivel a longo prazo</v>
      </c>
      <c r="I14" s="10" t="str">
        <f aca="false">IF(B14="","",B14&amp;" - ("&amp;TRIM(C14)&amp;")")</f>
        <v>41110000012 - (PASSIV)</v>
      </c>
      <c r="J14" s="10" t="str">
        <f aca="false">IF(B14="","",IF(COUNTIF($B$5:$B$37,B14)&gt;1,"Sim","Nao"))</f>
        <v>Nao</v>
      </c>
      <c r="K14" s="10" t="str">
        <f aca="false">IF(A14="","",IF(G14="Produto nao cadastrado","Cadastre o produto antes",IF(COUNTIFS($A$5:$A$37,A14,$B$5:$B$37,B14)&gt;1,"Par duplicado",IF(AND(LEN(A14)=4,LEN(B14)=11,LEN(C14)&lt;=6,OR(D14="A",D14="I")),"OK","Verificar tamanhos/status"))))</f>
        <v>OK</v>
      </c>
      <c r="L14" s="10" t="str">
        <f aca="false">IF(A14="","","MERGE INTO PRODUTO_COSIF (COD_PRODUTO, COD_COSIF, COD_CLASSIFICACAO, STA_STATUS) KEY (COD_PRODUTO, COD_COSIF) VALUES ('"&amp;A14&amp;"', '"&amp;B14&amp;"', '"&amp;C14&amp;"', '"&amp;D14&amp;"');")</f>
        <v>MERGE INTO PRODUTO_COSIF (COD_PRODUTO, COD_COSIF, COD_CLASSIFICACAO, STA_STATUS) KEY (COD_PRODUTO, COD_COSIF) VALUES ('0007', '41110000012', 'PASSIV', 'A');</v>
      </c>
    </row>
    <row r="15" customFormat="false" ht="15" hidden="false" customHeight="false" outlineLevel="0" collapsed="false">
      <c r="A15" s="9" t="s">
        <v>68</v>
      </c>
      <c r="B15" s="9" t="s">
        <v>109</v>
      </c>
      <c r="C15" s="9" t="s">
        <v>97</v>
      </c>
      <c r="D15" s="9" t="s">
        <v>57</v>
      </c>
      <c r="E15" s="11" t="s">
        <v>110</v>
      </c>
      <c r="F15" s="9" t="s">
        <v>67</v>
      </c>
      <c r="G15" s="12" t="str">
        <f aca="false">IF(A15="","",IFERROR(INDEX(Produtos!$B$5:$B$23,MATCH(A15,Produtos!$A$5:$A$23,0)),"Produto nao cadastrado"))</f>
        <v>Conta Corrente</v>
      </c>
      <c r="H15" s="13" t="str">
        <f aca="false">IF(B15="","",IFERROR(VLOOKUP(LEFT(B15,1),Grupos_COSIF!$A$5:$B$12,2,FALSE()),"Outro"))</f>
        <v>Contas de resultado credoras (receitas)</v>
      </c>
      <c r="I15" s="10" t="str">
        <f aca="false">IF(B15="","",B15&amp;" - ("&amp;TRIM(C15)&amp;")")</f>
        <v>71790000013 - (RECEIT)</v>
      </c>
      <c r="J15" s="10" t="str">
        <f aca="false">IF(B15="","",IF(COUNTIF($B$5:$B$37,B15)&gt;1,"Sim","Nao"))</f>
        <v>Nao</v>
      </c>
      <c r="K15" s="10" t="str">
        <f aca="false">IF(A15="","",IF(G15="Produto nao cadastrado","Cadastre o produto antes",IF(COUNTIFS($A$5:$A$37,A15,$B$5:$B$37,B15)&gt;1,"Par duplicado",IF(AND(LEN(A15)=4,LEN(B15)=11,LEN(C15)&lt;=6,OR(D15="A",D15="I")),"OK","Verificar tamanhos/status"))))</f>
        <v>OK</v>
      </c>
      <c r="L15" s="10" t="str">
        <f aca="false">IF(A15="","","MERGE INTO PRODUTO_COSIF (COD_PRODUTO, COD_COSIF, COD_CLASSIFICACAO, STA_STATUS) KEY (COD_PRODUTO, COD_COSIF) VALUES ('"&amp;A15&amp;"', '"&amp;B15&amp;"', '"&amp;C15&amp;"', '"&amp;D15&amp;"');")</f>
        <v>MERGE INTO PRODUTO_COSIF (COD_PRODUTO, COD_COSIF, COD_CLASSIFICACAO, STA_STATUS) KEY (COD_PRODUTO, COD_COSIF) VALUES ('0007', '71790000013', 'RECEIT', 'A');</v>
      </c>
    </row>
    <row r="16" customFormat="false" ht="15" hidden="false" customHeight="false" outlineLevel="0" collapsed="false">
      <c r="A16" s="9" t="s">
        <v>70</v>
      </c>
      <c r="B16" s="9" t="s">
        <v>111</v>
      </c>
      <c r="C16" s="9" t="s">
        <v>94</v>
      </c>
      <c r="D16" s="9" t="s">
        <v>57</v>
      </c>
      <c r="E16" s="11" t="s">
        <v>112</v>
      </c>
      <c r="F16" s="9" t="s">
        <v>67</v>
      </c>
      <c r="G16" s="12" t="str">
        <f aca="false">IF(A16="","",IFERROR(INDEX(Produtos!$B$5:$B$23,MATCH(A16,Produtos!$A$5:$A$23,0)),"Produto nao cadastrado"))</f>
        <v>Credito Pessoal</v>
      </c>
      <c r="H16" s="13" t="str">
        <f aca="false">IF(B16="","",IFERROR(VLOOKUP(LEFT(B16,1),Grupos_COSIF!$A$5:$B$12,2,FALSE()),"Outro"))</f>
        <v>Ativo circulante e realizavel a longo prazo</v>
      </c>
      <c r="I16" s="10" t="str">
        <f aca="false">IF(B16="","",B16&amp;" - ("&amp;TRIM(C16)&amp;")")</f>
        <v>16110000014 - (ATIVO)</v>
      </c>
      <c r="J16" s="10" t="str">
        <f aca="false">IF(B16="","",IF(COUNTIF($B$5:$B$37,B16)&gt;1,"Sim","Nao"))</f>
        <v>Nao</v>
      </c>
      <c r="K16" s="10" t="str">
        <f aca="false">IF(A16="","",IF(G16="Produto nao cadastrado","Cadastre o produto antes",IF(COUNTIFS($A$5:$A$37,A16,$B$5:$B$37,B16)&gt;1,"Par duplicado",IF(AND(LEN(A16)=4,LEN(B16)=11,LEN(C16)&lt;=6,OR(D16="A",D16="I")),"OK","Verificar tamanhos/status"))))</f>
        <v>OK</v>
      </c>
      <c r="L16" s="10" t="str">
        <f aca="false">IF(A16="","","MERGE INTO PRODUTO_COSIF (COD_PRODUTO, COD_COSIF, COD_CLASSIFICACAO, STA_STATUS) KEY (COD_PRODUTO, COD_COSIF) VALUES ('"&amp;A16&amp;"', '"&amp;B16&amp;"', '"&amp;C16&amp;"', '"&amp;D16&amp;"');")</f>
        <v>MERGE INTO PRODUTO_COSIF (COD_PRODUTO, COD_COSIF, COD_CLASSIFICACAO, STA_STATUS) KEY (COD_PRODUTO, COD_COSIF) VALUES ('0008', '16110000014', 'ATIVO', 'A');</v>
      </c>
    </row>
    <row r="17" customFormat="false" ht="15" hidden="false" customHeight="false" outlineLevel="0" collapsed="false">
      <c r="A17" s="9" t="s">
        <v>70</v>
      </c>
      <c r="B17" s="9" t="s">
        <v>113</v>
      </c>
      <c r="C17" s="9" t="s">
        <v>97</v>
      </c>
      <c r="D17" s="9" t="s">
        <v>57</v>
      </c>
      <c r="E17" s="11" t="s">
        <v>114</v>
      </c>
      <c r="F17" s="9" t="s">
        <v>67</v>
      </c>
      <c r="G17" s="12" t="str">
        <f aca="false">IF(A17="","",IFERROR(INDEX(Produtos!$B$5:$B$23,MATCH(A17,Produtos!$A$5:$A$23,0)),"Produto nao cadastrado"))</f>
        <v>Credito Pessoal</v>
      </c>
      <c r="H17" s="13" t="str">
        <f aca="false">IF(B17="","",IFERROR(VLOOKUP(LEFT(B17,1),Grupos_COSIF!$A$5:$B$12,2,FALSE()),"Outro"))</f>
        <v>Contas de resultado credoras (receitas)</v>
      </c>
      <c r="I17" s="10" t="str">
        <f aca="false">IF(B17="","",B17&amp;" - ("&amp;TRIM(C17)&amp;")")</f>
        <v>71120000015 - (RECEIT)</v>
      </c>
      <c r="J17" s="10" t="str">
        <f aca="false">IF(B17="","",IF(COUNTIF($B$5:$B$37,B17)&gt;1,"Sim","Nao"))</f>
        <v>Nao</v>
      </c>
      <c r="K17" s="10" t="str">
        <f aca="false">IF(A17="","",IF(G17="Produto nao cadastrado","Cadastre o produto antes",IF(COUNTIFS($A$5:$A$37,A17,$B$5:$B$37,B17)&gt;1,"Par duplicado",IF(AND(LEN(A17)=4,LEN(B17)=11,LEN(C17)&lt;=6,OR(D17="A",D17="I")),"OK","Verificar tamanhos/status"))))</f>
        <v>OK</v>
      </c>
      <c r="L17" s="10" t="str">
        <f aca="false">IF(A17="","","MERGE INTO PRODUTO_COSIF (COD_PRODUTO, COD_COSIF, COD_CLASSIFICACAO, STA_STATUS) KEY (COD_PRODUTO, COD_COSIF) VALUES ('"&amp;A17&amp;"', '"&amp;B17&amp;"', '"&amp;C17&amp;"', '"&amp;D17&amp;"');")</f>
        <v>MERGE INTO PRODUTO_COSIF (COD_PRODUTO, COD_COSIF, COD_CLASSIFICACAO, STA_STATUS) KEY (COD_PRODUTO, COD_COSIF) VALUES ('0008', '71120000015', 'RECEIT', 'A');</v>
      </c>
    </row>
    <row r="18" customFormat="false" ht="23.85" hidden="false" customHeight="false" outlineLevel="0" collapsed="false">
      <c r="A18" s="9" t="s">
        <v>70</v>
      </c>
      <c r="B18" s="9" t="s">
        <v>96</v>
      </c>
      <c r="C18" s="9" t="s">
        <v>97</v>
      </c>
      <c r="D18" s="9" t="s">
        <v>57</v>
      </c>
      <c r="E18" s="11" t="s">
        <v>115</v>
      </c>
      <c r="F18" s="9" t="s">
        <v>67</v>
      </c>
      <c r="G18" s="12" t="str">
        <f aca="false">IF(A18="","",IFERROR(INDEX(Produtos!$B$5:$B$23,MATCH(A18,Produtos!$A$5:$A$23,0)),"Produto nao cadastrado"))</f>
        <v>Credito Pessoal</v>
      </c>
      <c r="H18" s="13" t="str">
        <f aca="false">IF(B18="","",IFERROR(VLOOKUP(LEFT(B18,1),Grupos_COSIF!$A$5:$B$12,2,FALSE()),"Outro"))</f>
        <v>Contas de resultado credoras (receitas)</v>
      </c>
      <c r="I18" s="10" t="str">
        <f aca="false">IF(B18="","",B18&amp;" - ("&amp;TRIM(C18)&amp;")")</f>
        <v>71110000005 - (RECEIT)</v>
      </c>
      <c r="J18" s="10" t="str">
        <f aca="false">IF(B18="","",IF(COUNTIF($B$5:$B$37,B18)&gt;1,"Sim","Nao"))</f>
        <v>Sim</v>
      </c>
      <c r="K18" s="10" t="str">
        <f aca="false">IF(A18="","",IF(G18="Produto nao cadastrado","Cadastre o produto antes",IF(COUNTIFS($A$5:$A$37,A18,$B$5:$B$37,B18)&gt;1,"Par duplicado",IF(AND(LEN(A18)=4,LEN(B18)=11,LEN(C18)&lt;=6,OR(D18="A",D18="I")),"OK","Verificar tamanhos/status"))))</f>
        <v>OK</v>
      </c>
      <c r="L18" s="10" t="str">
        <f aca="false">IF(A18="","","MERGE INTO PRODUTO_COSIF (COD_PRODUTO, COD_COSIF, COD_CLASSIFICACAO, STA_STATUS) KEY (COD_PRODUTO, COD_COSIF) VALUES ('"&amp;A18&amp;"', '"&amp;B18&amp;"', '"&amp;C18&amp;"', '"&amp;D18&amp;"');")</f>
        <v>MERGE INTO PRODUTO_COSIF (COD_PRODUTO, COD_COSIF, COD_CLASSIFICACAO, STA_STATUS) KEY (COD_PRODUTO, COD_COSIF) VALUES ('0008', '71110000005', 'RECEIT', 'A');</v>
      </c>
    </row>
    <row r="19" customFormat="false" ht="15" hidden="false" customHeight="false" outlineLevel="0" collapsed="false">
      <c r="A19" s="9" t="s">
        <v>72</v>
      </c>
      <c r="B19" s="9" t="s">
        <v>116</v>
      </c>
      <c r="C19" s="9" t="s">
        <v>94</v>
      </c>
      <c r="D19" s="9" t="s">
        <v>57</v>
      </c>
      <c r="E19" s="11" t="s">
        <v>117</v>
      </c>
      <c r="F19" s="9" t="s">
        <v>67</v>
      </c>
      <c r="G19" s="12" t="str">
        <f aca="false">IF(A19="","",IFERROR(INDEX(Produtos!$B$5:$B$23,MATCH(A19,Produtos!$A$5:$A$23,0)),"Produto nao cadastrado"))</f>
        <v>Financiamento Imobiliario</v>
      </c>
      <c r="H19" s="13" t="str">
        <f aca="false">IF(B19="","",IFERROR(VLOOKUP(LEFT(B19,1),Grupos_COSIF!$A$5:$B$12,2,FALSE()),"Outro"))</f>
        <v>Ativo circulante e realizavel a longo prazo</v>
      </c>
      <c r="I19" s="10" t="str">
        <f aca="false">IF(B19="","",B19&amp;" - ("&amp;TRIM(C19)&amp;")")</f>
        <v>16140000016 - (ATIVO)</v>
      </c>
      <c r="J19" s="10" t="str">
        <f aca="false">IF(B19="","",IF(COUNTIF($B$5:$B$37,B19)&gt;1,"Sim","Nao"))</f>
        <v>Nao</v>
      </c>
      <c r="K19" s="10" t="str">
        <f aca="false">IF(A19="","",IF(G19="Produto nao cadastrado","Cadastre o produto antes",IF(COUNTIFS($A$5:$A$37,A19,$B$5:$B$37,B19)&gt;1,"Par duplicado",IF(AND(LEN(A19)=4,LEN(B19)=11,LEN(C19)&lt;=6,OR(D19="A",D19="I")),"OK","Verificar tamanhos/status"))))</f>
        <v>OK</v>
      </c>
      <c r="L19" s="10" t="str">
        <f aca="false">IF(A19="","","MERGE INTO PRODUTO_COSIF (COD_PRODUTO, COD_COSIF, COD_CLASSIFICACAO, STA_STATUS) KEY (COD_PRODUTO, COD_COSIF) VALUES ('"&amp;A19&amp;"', '"&amp;B19&amp;"', '"&amp;C19&amp;"', '"&amp;D19&amp;"');")</f>
        <v>MERGE INTO PRODUTO_COSIF (COD_PRODUTO, COD_COSIF, COD_CLASSIFICACAO, STA_STATUS) KEY (COD_PRODUTO, COD_COSIF) VALUES ('0009', '16140000016', 'ATIVO', 'A');</v>
      </c>
    </row>
    <row r="20" customFormat="false" ht="15" hidden="false" customHeight="false" outlineLevel="0" collapsed="false">
      <c r="A20" s="9" t="s">
        <v>72</v>
      </c>
      <c r="B20" s="9" t="s">
        <v>118</v>
      </c>
      <c r="C20" s="9" t="s">
        <v>97</v>
      </c>
      <c r="D20" s="9" t="s">
        <v>57</v>
      </c>
      <c r="E20" s="11" t="s">
        <v>119</v>
      </c>
      <c r="F20" s="9" t="s">
        <v>67</v>
      </c>
      <c r="G20" s="12" t="str">
        <f aca="false">IF(A20="","",IFERROR(INDEX(Produtos!$B$5:$B$23,MATCH(A20,Produtos!$A$5:$A$23,0)),"Produto nao cadastrado"))</f>
        <v>Financiamento Imobiliario</v>
      </c>
      <c r="H20" s="13" t="str">
        <f aca="false">IF(B20="","",IFERROR(VLOOKUP(LEFT(B20,1),Grupos_COSIF!$A$5:$B$12,2,FALSE()),"Outro"))</f>
        <v>Contas de resultado credoras (receitas)</v>
      </c>
      <c r="I20" s="10" t="str">
        <f aca="false">IF(B20="","",B20&amp;" - ("&amp;TRIM(C20)&amp;")")</f>
        <v>71140000017 - (RECEIT)</v>
      </c>
      <c r="J20" s="10" t="str">
        <f aca="false">IF(B20="","",IF(COUNTIF($B$5:$B$37,B20)&gt;1,"Sim","Nao"))</f>
        <v>Nao</v>
      </c>
      <c r="K20" s="10" t="str">
        <f aca="false">IF(A20="","",IF(G20="Produto nao cadastrado","Cadastre o produto antes",IF(COUNTIFS($A$5:$A$37,A20,$B$5:$B$37,B20)&gt;1,"Par duplicado",IF(AND(LEN(A20)=4,LEN(B20)=11,LEN(C20)&lt;=6,OR(D20="A",D20="I")),"OK","Verificar tamanhos/status"))))</f>
        <v>OK</v>
      </c>
      <c r="L20" s="10" t="str">
        <f aca="false">IF(A20="","","MERGE INTO PRODUTO_COSIF (COD_PRODUTO, COD_COSIF, COD_CLASSIFICACAO, STA_STATUS) KEY (COD_PRODUTO, COD_COSIF) VALUES ('"&amp;A20&amp;"', '"&amp;B20&amp;"', '"&amp;C20&amp;"', '"&amp;D20&amp;"');")</f>
        <v>MERGE INTO PRODUTO_COSIF (COD_PRODUTO, COD_COSIF, COD_CLASSIFICACAO, STA_STATUS) KEY (COD_PRODUTO, COD_COSIF) VALUES ('0009', '71140000017', 'RECEIT', 'A');</v>
      </c>
    </row>
    <row r="21" customFormat="false" ht="15" hidden="false" customHeight="false" outlineLevel="0" collapsed="false">
      <c r="A21" s="9" t="s">
        <v>74</v>
      </c>
      <c r="B21" s="9" t="s">
        <v>120</v>
      </c>
      <c r="C21" s="9" t="s">
        <v>97</v>
      </c>
      <c r="D21" s="9" t="s">
        <v>57</v>
      </c>
      <c r="E21" s="11" t="s">
        <v>121</v>
      </c>
      <c r="F21" s="9" t="s">
        <v>67</v>
      </c>
      <c r="G21" s="12" t="str">
        <f aca="false">IF(A21="","",IFERROR(INDEX(Produtos!$B$5:$B$23,MATCH(A21,Produtos!$A$5:$A$23,0)),"Produto nao cadastrado"))</f>
        <v>Fundo de Investimento</v>
      </c>
      <c r="H21" s="13" t="str">
        <f aca="false">IF(B21="","",IFERROR(VLOOKUP(LEFT(B21,1),Grupos_COSIF!$A$5:$B$12,2,FALSE()),"Outro"))</f>
        <v>Contas de resultado credoras (receitas)</v>
      </c>
      <c r="I21" s="10" t="str">
        <f aca="false">IF(B21="","",B21&amp;" - ("&amp;TRIM(C21)&amp;")")</f>
        <v>71710000018 - (RECEIT)</v>
      </c>
      <c r="J21" s="10" t="str">
        <f aca="false">IF(B21="","",IF(COUNTIF($B$5:$B$37,B21)&gt;1,"Sim","Nao"))</f>
        <v>Nao</v>
      </c>
      <c r="K21" s="10" t="str">
        <f aca="false">IF(A21="","",IF(G21="Produto nao cadastrado","Cadastre o produto antes",IF(COUNTIFS($A$5:$A$37,A21,$B$5:$B$37,B21)&gt;1,"Par duplicado",IF(AND(LEN(A21)=4,LEN(B21)=11,LEN(C21)&lt;=6,OR(D21="A",D21="I")),"OK","Verificar tamanhos/status"))))</f>
        <v>OK</v>
      </c>
      <c r="L21" s="10" t="str">
        <f aca="false">IF(A21="","","MERGE INTO PRODUTO_COSIF (COD_PRODUTO, COD_COSIF, COD_CLASSIFICACAO, STA_STATUS) KEY (COD_PRODUTO, COD_COSIF) VALUES ('"&amp;A21&amp;"', '"&amp;B21&amp;"', '"&amp;C21&amp;"', '"&amp;D21&amp;"');")</f>
        <v>MERGE INTO PRODUTO_COSIF (COD_PRODUTO, COD_COSIF, COD_CLASSIFICACAO, STA_STATUS) KEY (COD_PRODUTO, COD_COSIF) VALUES ('0010', '71710000018', 'RECEIT', 'A');</v>
      </c>
    </row>
    <row r="22" customFormat="false" ht="23.85" hidden="false" customHeight="false" outlineLevel="0" collapsed="false">
      <c r="A22" s="9" t="s">
        <v>55</v>
      </c>
      <c r="B22" s="9" t="s">
        <v>122</v>
      </c>
      <c r="C22" s="9" t="s">
        <v>86</v>
      </c>
      <c r="D22" s="9" t="s">
        <v>57</v>
      </c>
      <c r="E22" s="11" t="s">
        <v>123</v>
      </c>
      <c r="F22" s="9" t="s">
        <v>67</v>
      </c>
      <c r="G22" s="12" t="str">
        <f aca="false">IF(A22="","",IFERROR(INDEX(Produtos!$B$5:$B$23,MATCH(A22,Produtos!$A$5:$A$23,0)),"Produto nao cadastrado"))</f>
        <v>CDB Pos-Fixado</v>
      </c>
      <c r="H22" s="13" t="str">
        <f aca="false">IF(B22="","",IFERROR(VLOOKUP(LEFT(B22,1),Grupos_COSIF!$A$5:$B$12,2,FALSE()),"Outro"))</f>
        <v>Passivo circulante e exigivel a longo prazo</v>
      </c>
      <c r="I22" s="10" t="str">
        <f aca="false">IF(B22="","",B22&amp;" - ("&amp;TRIM(C22)&amp;")")</f>
        <v>49910000019 - (PASSIV)</v>
      </c>
      <c r="J22" s="10" t="str">
        <f aca="false">IF(B22="","",IF(COUNTIF($B$5:$B$37,B22)&gt;1,"Sim","Nao"))</f>
        <v>Nao</v>
      </c>
      <c r="K22" s="10" t="str">
        <f aca="false">IF(A22="","",IF(G22="Produto nao cadastrado","Cadastre o produto antes",IF(COUNTIFS($A$5:$A$37,A22,$B$5:$B$37,B22)&gt;1,"Par duplicado",IF(AND(LEN(A22)=4,LEN(B22)=11,LEN(C22)&lt;=6,OR(D22="A",D22="I")),"OK","Verificar tamanhos/status"))))</f>
        <v>OK</v>
      </c>
      <c r="L22" s="10" t="str">
        <f aca="false">IF(A22="","","MERGE INTO PRODUTO_COSIF (COD_PRODUTO, COD_COSIF, COD_CLASSIFICACAO, STA_STATUS) KEY (COD_PRODUTO, COD_COSIF) VALUES ('"&amp;A22&amp;"', '"&amp;B22&amp;"', '"&amp;C22&amp;"', '"&amp;D22&amp;"');")</f>
        <v>MERGE INTO PRODUTO_COSIF (COD_PRODUTO, COD_COSIF, COD_CLASSIFICACAO, STA_STATUS) KEY (COD_PRODUTO, COD_COSIF) VALUES ('0001', '49910000019', 'PASSIV', 'A');</v>
      </c>
    </row>
    <row r="23" customFormat="false" ht="15" hidden="false" customHeight="false" outlineLevel="0" collapsed="false">
      <c r="A23" s="9"/>
      <c r="B23" s="9"/>
      <c r="C23" s="9"/>
      <c r="D23" s="9"/>
      <c r="E23" s="11"/>
      <c r="F23" s="9"/>
      <c r="G23" s="12" t="str">
        <f aca="false">IF(A23="","",IFERROR(INDEX(Produtos!$B$5:$B$23,MATCH(A23,Produtos!$A$5:$A$23,0)),"Produto nao cadastrado"))</f>
        <v/>
      </c>
      <c r="H23" s="13" t="str">
        <f aca="false">IF(B23="","",IFERROR(VLOOKUP(LEFT(B23,1),Grupos_COSIF!$A$5:$B$12,2,FALSE()),"Outro"))</f>
        <v/>
      </c>
      <c r="I23" s="10" t="str">
        <f aca="false">IF(B23="","",B23&amp;" - ("&amp;TRIM(C23)&amp;")")</f>
        <v/>
      </c>
      <c r="J23" s="10" t="str">
        <f aca="false">IF(B23="","",IF(COUNTIF($B$5:$B$37,B23)&gt;1,"Sim","Nao"))</f>
        <v/>
      </c>
      <c r="K23" s="10" t="str">
        <f aca="false">IF(A23="","",IF(G23="Produto nao cadastrado","Cadastre o produto antes",IF(COUNTIFS($A$5:$A$37,A23,$B$5:$B$37,B23)&gt;1,"Par duplicado",IF(AND(LEN(A23)=4,LEN(B23)=11,LEN(C23)&lt;=6,OR(D23="A",D23="I")),"OK","Verificar tamanhos/status"))))</f>
        <v/>
      </c>
      <c r="L23" s="10" t="str">
        <f aca="false">IF(A23="","","MERGE INTO PRODUTO_COSIF (COD_PRODUTO, COD_COSIF, COD_CLASSIFICACAO, STA_STATUS) KEY (COD_PRODUTO, COD_COSIF) VALUES ('"&amp;A23&amp;"', '"&amp;B23&amp;"', '"&amp;C23&amp;"', '"&amp;D23&amp;"');")</f>
        <v/>
      </c>
    </row>
    <row r="24" customFormat="false" ht="15" hidden="false" customHeight="false" outlineLevel="0" collapsed="false">
      <c r="A24" s="9"/>
      <c r="B24" s="9"/>
      <c r="C24" s="9"/>
      <c r="D24" s="9"/>
      <c r="E24" s="11"/>
      <c r="F24" s="9"/>
      <c r="G24" s="12" t="str">
        <f aca="false">IF(A24="","",IFERROR(INDEX(Produtos!$B$5:$B$23,MATCH(A24,Produtos!$A$5:$A$23,0)),"Produto nao cadastrado"))</f>
        <v/>
      </c>
      <c r="H24" s="13" t="str">
        <f aca="false">IF(B24="","",IFERROR(VLOOKUP(LEFT(B24,1),Grupos_COSIF!$A$5:$B$12,2,FALSE()),"Outro"))</f>
        <v/>
      </c>
      <c r="I24" s="10" t="str">
        <f aca="false">IF(B24="","",B24&amp;" - ("&amp;TRIM(C24)&amp;")")</f>
        <v/>
      </c>
      <c r="J24" s="10" t="str">
        <f aca="false">IF(B24="","",IF(COUNTIF($B$5:$B$37,B24)&gt;1,"Sim","Nao"))</f>
        <v/>
      </c>
      <c r="K24" s="10" t="str">
        <f aca="false">IF(A24="","",IF(G24="Produto nao cadastrado","Cadastre o produto antes",IF(COUNTIFS($A$5:$A$37,A24,$B$5:$B$37,B24)&gt;1,"Par duplicado",IF(AND(LEN(A24)=4,LEN(B24)=11,LEN(C24)&lt;=6,OR(D24="A",D24="I")),"OK","Verificar tamanhos/status"))))</f>
        <v/>
      </c>
      <c r="L24" s="10" t="str">
        <f aca="false">IF(A24="","","MERGE INTO PRODUTO_COSIF (COD_PRODUTO, COD_COSIF, COD_CLASSIFICACAO, STA_STATUS) KEY (COD_PRODUTO, COD_COSIF) VALUES ('"&amp;A24&amp;"', '"&amp;B24&amp;"', '"&amp;C24&amp;"', '"&amp;D24&amp;"');")</f>
        <v/>
      </c>
    </row>
    <row r="25" customFormat="false" ht="15" hidden="false" customHeight="false" outlineLevel="0" collapsed="false">
      <c r="A25" s="9"/>
      <c r="B25" s="9"/>
      <c r="C25" s="9"/>
      <c r="D25" s="9"/>
      <c r="E25" s="11"/>
      <c r="F25" s="9"/>
      <c r="G25" s="12" t="str">
        <f aca="false">IF(A25="","",IFERROR(INDEX(Produtos!$B$5:$B$23,MATCH(A25,Produtos!$A$5:$A$23,0)),"Produto nao cadastrado"))</f>
        <v/>
      </c>
      <c r="H25" s="13" t="str">
        <f aca="false">IF(B25="","",IFERROR(VLOOKUP(LEFT(B25,1),Grupos_COSIF!$A$5:$B$12,2,FALSE()),"Outro"))</f>
        <v/>
      </c>
      <c r="I25" s="10" t="str">
        <f aca="false">IF(B25="","",B25&amp;" - ("&amp;TRIM(C25)&amp;")")</f>
        <v/>
      </c>
      <c r="J25" s="10" t="str">
        <f aca="false">IF(B25="","",IF(COUNTIF($B$5:$B$37,B25)&gt;1,"Sim","Nao"))</f>
        <v/>
      </c>
      <c r="K25" s="10" t="str">
        <f aca="false">IF(A25="","",IF(G25="Produto nao cadastrado","Cadastre o produto antes",IF(COUNTIFS($A$5:$A$37,A25,$B$5:$B$37,B25)&gt;1,"Par duplicado",IF(AND(LEN(A25)=4,LEN(B25)=11,LEN(C25)&lt;=6,OR(D25="A",D25="I")),"OK","Verificar tamanhos/status"))))</f>
        <v/>
      </c>
      <c r="L25" s="10" t="str">
        <f aca="false">IF(A25="","","MERGE INTO PRODUTO_COSIF (COD_PRODUTO, COD_COSIF, COD_CLASSIFICACAO, STA_STATUS) KEY (COD_PRODUTO, COD_COSIF) VALUES ('"&amp;A25&amp;"', '"&amp;B25&amp;"', '"&amp;C25&amp;"', '"&amp;D25&amp;"');")</f>
        <v/>
      </c>
    </row>
    <row r="26" customFormat="false" ht="15" hidden="false" customHeight="false" outlineLevel="0" collapsed="false">
      <c r="A26" s="9"/>
      <c r="B26" s="9"/>
      <c r="C26" s="9"/>
      <c r="D26" s="9"/>
      <c r="E26" s="11"/>
      <c r="F26" s="9"/>
      <c r="G26" s="12" t="str">
        <f aca="false">IF(A26="","",IFERROR(INDEX(Produtos!$B$5:$B$23,MATCH(A26,Produtos!$A$5:$A$23,0)),"Produto nao cadastrado"))</f>
        <v/>
      </c>
      <c r="H26" s="13" t="str">
        <f aca="false">IF(B26="","",IFERROR(VLOOKUP(LEFT(B26,1),Grupos_COSIF!$A$5:$B$12,2,FALSE()),"Outro"))</f>
        <v/>
      </c>
      <c r="I26" s="10" t="str">
        <f aca="false">IF(B26="","",B26&amp;" - ("&amp;TRIM(C26)&amp;")")</f>
        <v/>
      </c>
      <c r="J26" s="10" t="str">
        <f aca="false">IF(B26="","",IF(COUNTIF($B$5:$B$37,B26)&gt;1,"Sim","Nao"))</f>
        <v/>
      </c>
      <c r="K26" s="10" t="str">
        <f aca="false">IF(A26="","",IF(G26="Produto nao cadastrado","Cadastre o produto antes",IF(COUNTIFS($A$5:$A$37,A26,$B$5:$B$37,B26)&gt;1,"Par duplicado",IF(AND(LEN(A26)=4,LEN(B26)=11,LEN(C26)&lt;=6,OR(D26="A",D26="I")),"OK","Verificar tamanhos/status"))))</f>
        <v/>
      </c>
      <c r="L26" s="10" t="str">
        <f aca="false">IF(A26="","","MERGE INTO PRODUTO_COSIF (COD_PRODUTO, COD_COSIF, COD_CLASSIFICACAO, STA_STATUS) KEY (COD_PRODUTO, COD_COSIF) VALUES ('"&amp;A26&amp;"', '"&amp;B26&amp;"', '"&amp;C26&amp;"', '"&amp;D26&amp;"');")</f>
        <v/>
      </c>
    </row>
    <row r="27" customFormat="false" ht="15" hidden="false" customHeight="false" outlineLevel="0" collapsed="false">
      <c r="A27" s="9"/>
      <c r="B27" s="9"/>
      <c r="C27" s="9"/>
      <c r="D27" s="9"/>
      <c r="E27" s="11"/>
      <c r="F27" s="9"/>
      <c r="G27" s="12" t="str">
        <f aca="false">IF(A27="","",IFERROR(INDEX(Produtos!$B$5:$B$23,MATCH(A27,Produtos!$A$5:$A$23,0)),"Produto nao cadastrado"))</f>
        <v/>
      </c>
      <c r="H27" s="13" t="str">
        <f aca="false">IF(B27="","",IFERROR(VLOOKUP(LEFT(B27,1),Grupos_COSIF!$A$5:$B$12,2,FALSE()),"Outro"))</f>
        <v/>
      </c>
      <c r="I27" s="10" t="str">
        <f aca="false">IF(B27="","",B27&amp;" - ("&amp;TRIM(C27)&amp;")")</f>
        <v/>
      </c>
      <c r="J27" s="10" t="str">
        <f aca="false">IF(B27="","",IF(COUNTIF($B$5:$B$37,B27)&gt;1,"Sim","Nao"))</f>
        <v/>
      </c>
      <c r="K27" s="10" t="str">
        <f aca="false">IF(A27="","",IF(G27="Produto nao cadastrado","Cadastre o produto antes",IF(COUNTIFS($A$5:$A$37,A27,$B$5:$B$37,B27)&gt;1,"Par duplicado",IF(AND(LEN(A27)=4,LEN(B27)=11,LEN(C27)&lt;=6,OR(D27="A",D27="I")),"OK","Verificar tamanhos/status"))))</f>
        <v/>
      </c>
      <c r="L27" s="10" t="str">
        <f aca="false">IF(A27="","","MERGE INTO PRODUTO_COSIF (COD_PRODUTO, COD_COSIF, COD_CLASSIFICACAO, STA_STATUS) KEY (COD_PRODUTO, COD_COSIF) VALUES ('"&amp;A27&amp;"', '"&amp;B27&amp;"', '"&amp;C27&amp;"', '"&amp;D27&amp;"');")</f>
        <v/>
      </c>
    </row>
    <row r="28" customFormat="false" ht="15" hidden="false" customHeight="false" outlineLevel="0" collapsed="false">
      <c r="A28" s="9"/>
      <c r="B28" s="9"/>
      <c r="C28" s="9"/>
      <c r="D28" s="9"/>
      <c r="E28" s="11"/>
      <c r="F28" s="9"/>
      <c r="G28" s="12" t="str">
        <f aca="false">IF(A28="","",IFERROR(INDEX(Produtos!$B$5:$B$23,MATCH(A28,Produtos!$A$5:$A$23,0)),"Produto nao cadastrado"))</f>
        <v/>
      </c>
      <c r="H28" s="13" t="str">
        <f aca="false">IF(B28="","",IFERROR(VLOOKUP(LEFT(B28,1),Grupos_COSIF!$A$5:$B$12,2,FALSE()),"Outro"))</f>
        <v/>
      </c>
      <c r="I28" s="10" t="str">
        <f aca="false">IF(B28="","",B28&amp;" - ("&amp;TRIM(C28)&amp;")")</f>
        <v/>
      </c>
      <c r="J28" s="10" t="str">
        <f aca="false">IF(B28="","",IF(COUNTIF($B$5:$B$37,B28)&gt;1,"Sim","Nao"))</f>
        <v/>
      </c>
      <c r="K28" s="10" t="str">
        <f aca="false">IF(A28="","",IF(G28="Produto nao cadastrado","Cadastre o produto antes",IF(COUNTIFS($A$5:$A$37,A28,$B$5:$B$37,B28)&gt;1,"Par duplicado",IF(AND(LEN(A28)=4,LEN(B28)=11,LEN(C28)&lt;=6,OR(D28="A",D28="I")),"OK","Verificar tamanhos/status"))))</f>
        <v/>
      </c>
      <c r="L28" s="10" t="str">
        <f aca="false">IF(A28="","","MERGE INTO PRODUTO_COSIF (COD_PRODUTO, COD_COSIF, COD_CLASSIFICACAO, STA_STATUS) KEY (COD_PRODUTO, COD_COSIF) VALUES ('"&amp;A28&amp;"', '"&amp;B28&amp;"', '"&amp;C28&amp;"', '"&amp;D28&amp;"');")</f>
        <v/>
      </c>
    </row>
    <row r="29" customFormat="false" ht="15" hidden="false" customHeight="false" outlineLevel="0" collapsed="false">
      <c r="A29" s="9"/>
      <c r="B29" s="9"/>
      <c r="C29" s="9"/>
      <c r="D29" s="9"/>
      <c r="E29" s="11"/>
      <c r="F29" s="9"/>
      <c r="G29" s="12" t="str">
        <f aca="false">IF(A29="","",IFERROR(INDEX(Produtos!$B$5:$B$23,MATCH(A29,Produtos!$A$5:$A$23,0)),"Produto nao cadastrado"))</f>
        <v/>
      </c>
      <c r="H29" s="13" t="str">
        <f aca="false">IF(B29="","",IFERROR(VLOOKUP(LEFT(B29,1),Grupos_COSIF!$A$5:$B$12,2,FALSE()),"Outro"))</f>
        <v/>
      </c>
      <c r="I29" s="10" t="str">
        <f aca="false">IF(B29="","",B29&amp;" - ("&amp;TRIM(C29)&amp;")")</f>
        <v/>
      </c>
      <c r="J29" s="10" t="str">
        <f aca="false">IF(B29="","",IF(COUNTIF($B$5:$B$37,B29)&gt;1,"Sim","Nao"))</f>
        <v/>
      </c>
      <c r="K29" s="10" t="str">
        <f aca="false">IF(A29="","",IF(G29="Produto nao cadastrado","Cadastre o produto antes",IF(COUNTIFS($A$5:$A$37,A29,$B$5:$B$37,B29)&gt;1,"Par duplicado",IF(AND(LEN(A29)=4,LEN(B29)=11,LEN(C29)&lt;=6,OR(D29="A",D29="I")),"OK","Verificar tamanhos/status"))))</f>
        <v/>
      </c>
      <c r="L29" s="10" t="str">
        <f aca="false">IF(A29="","","MERGE INTO PRODUTO_COSIF (COD_PRODUTO, COD_COSIF, COD_CLASSIFICACAO, STA_STATUS) KEY (COD_PRODUTO, COD_COSIF) VALUES ('"&amp;A29&amp;"', '"&amp;B29&amp;"', '"&amp;C29&amp;"', '"&amp;D29&amp;"');")</f>
        <v/>
      </c>
    </row>
    <row r="30" customFormat="false" ht="15" hidden="false" customHeight="false" outlineLevel="0" collapsed="false">
      <c r="A30" s="9"/>
      <c r="B30" s="9"/>
      <c r="C30" s="9"/>
      <c r="D30" s="9"/>
      <c r="E30" s="11"/>
      <c r="F30" s="9"/>
      <c r="G30" s="12" t="str">
        <f aca="false">IF(A30="","",IFERROR(INDEX(Produtos!$B$5:$B$23,MATCH(A30,Produtos!$A$5:$A$23,0)),"Produto nao cadastrado"))</f>
        <v/>
      </c>
      <c r="H30" s="13" t="str">
        <f aca="false">IF(B30="","",IFERROR(VLOOKUP(LEFT(B30,1),Grupos_COSIF!$A$5:$B$12,2,FALSE()),"Outro"))</f>
        <v/>
      </c>
      <c r="I30" s="10" t="str">
        <f aca="false">IF(B30="","",B30&amp;" - ("&amp;TRIM(C30)&amp;")")</f>
        <v/>
      </c>
      <c r="J30" s="10" t="str">
        <f aca="false">IF(B30="","",IF(COUNTIF($B$5:$B$37,B30)&gt;1,"Sim","Nao"))</f>
        <v/>
      </c>
      <c r="K30" s="10" t="str">
        <f aca="false">IF(A30="","",IF(G30="Produto nao cadastrado","Cadastre o produto antes",IF(COUNTIFS($A$5:$A$37,A30,$B$5:$B$37,B30)&gt;1,"Par duplicado",IF(AND(LEN(A30)=4,LEN(B30)=11,LEN(C30)&lt;=6,OR(D30="A",D30="I")),"OK","Verificar tamanhos/status"))))</f>
        <v/>
      </c>
      <c r="L30" s="10" t="str">
        <f aca="false">IF(A30="","","MERGE INTO PRODUTO_COSIF (COD_PRODUTO, COD_COSIF, COD_CLASSIFICACAO, STA_STATUS) KEY (COD_PRODUTO, COD_COSIF) VALUES ('"&amp;A30&amp;"', '"&amp;B30&amp;"', '"&amp;C30&amp;"', '"&amp;D30&amp;"');")</f>
        <v/>
      </c>
    </row>
    <row r="31" customFormat="false" ht="15" hidden="false" customHeight="false" outlineLevel="0" collapsed="false">
      <c r="A31" s="9"/>
      <c r="B31" s="9"/>
      <c r="C31" s="9"/>
      <c r="D31" s="9"/>
      <c r="E31" s="11"/>
      <c r="F31" s="9"/>
      <c r="G31" s="12" t="str">
        <f aca="false">IF(A31="","",IFERROR(INDEX(Produtos!$B$5:$B$23,MATCH(A31,Produtos!$A$5:$A$23,0)),"Produto nao cadastrado"))</f>
        <v/>
      </c>
      <c r="H31" s="13" t="str">
        <f aca="false">IF(B31="","",IFERROR(VLOOKUP(LEFT(B31,1),Grupos_COSIF!$A$5:$B$12,2,FALSE()),"Outro"))</f>
        <v/>
      </c>
      <c r="I31" s="10" t="str">
        <f aca="false">IF(B31="","",B31&amp;" - ("&amp;TRIM(C31)&amp;")")</f>
        <v/>
      </c>
      <c r="J31" s="10" t="str">
        <f aca="false">IF(B31="","",IF(COUNTIF($B$5:$B$37,B31)&gt;1,"Sim","Nao"))</f>
        <v/>
      </c>
      <c r="K31" s="10" t="str">
        <f aca="false">IF(A31="","",IF(G31="Produto nao cadastrado","Cadastre o produto antes",IF(COUNTIFS($A$5:$A$37,A31,$B$5:$B$37,B31)&gt;1,"Par duplicado",IF(AND(LEN(A31)=4,LEN(B31)=11,LEN(C31)&lt;=6,OR(D31="A",D31="I")),"OK","Verificar tamanhos/status"))))</f>
        <v/>
      </c>
      <c r="L31" s="10" t="str">
        <f aca="false">IF(A31="","","MERGE INTO PRODUTO_COSIF (COD_PRODUTO, COD_COSIF, COD_CLASSIFICACAO, STA_STATUS) KEY (COD_PRODUTO, COD_COSIF) VALUES ('"&amp;A31&amp;"', '"&amp;B31&amp;"', '"&amp;C31&amp;"', '"&amp;D31&amp;"');")</f>
        <v/>
      </c>
    </row>
    <row r="32" customFormat="false" ht="15" hidden="false" customHeight="false" outlineLevel="0" collapsed="false">
      <c r="A32" s="9"/>
      <c r="B32" s="9"/>
      <c r="C32" s="9"/>
      <c r="D32" s="9"/>
      <c r="E32" s="11"/>
      <c r="F32" s="9"/>
      <c r="G32" s="12" t="str">
        <f aca="false">IF(A32="","",IFERROR(INDEX(Produtos!$B$5:$B$23,MATCH(A32,Produtos!$A$5:$A$23,0)),"Produto nao cadastrado"))</f>
        <v/>
      </c>
      <c r="H32" s="13" t="str">
        <f aca="false">IF(B32="","",IFERROR(VLOOKUP(LEFT(B32,1),Grupos_COSIF!$A$5:$B$12,2,FALSE()),"Outro"))</f>
        <v/>
      </c>
      <c r="I32" s="10" t="str">
        <f aca="false">IF(B32="","",B32&amp;" - ("&amp;TRIM(C32)&amp;")")</f>
        <v/>
      </c>
      <c r="J32" s="10" t="str">
        <f aca="false">IF(B32="","",IF(COUNTIF($B$5:$B$37,B32)&gt;1,"Sim","Nao"))</f>
        <v/>
      </c>
      <c r="K32" s="10" t="str">
        <f aca="false">IF(A32="","",IF(G32="Produto nao cadastrado","Cadastre o produto antes",IF(COUNTIFS($A$5:$A$37,A32,$B$5:$B$37,B32)&gt;1,"Par duplicado",IF(AND(LEN(A32)=4,LEN(B32)=11,LEN(C32)&lt;=6,OR(D32="A",D32="I")),"OK","Verificar tamanhos/status"))))</f>
        <v/>
      </c>
      <c r="L32" s="10" t="str">
        <f aca="false">IF(A32="","","MERGE INTO PRODUTO_COSIF (COD_PRODUTO, COD_COSIF, COD_CLASSIFICACAO, STA_STATUS) KEY (COD_PRODUTO, COD_COSIF) VALUES ('"&amp;A32&amp;"', '"&amp;B32&amp;"', '"&amp;C32&amp;"', '"&amp;D32&amp;"');")</f>
        <v/>
      </c>
    </row>
    <row r="33" customFormat="false" ht="15" hidden="false" customHeight="false" outlineLevel="0" collapsed="false">
      <c r="A33" s="9"/>
      <c r="B33" s="9"/>
      <c r="C33" s="9"/>
      <c r="D33" s="9"/>
      <c r="E33" s="11"/>
      <c r="F33" s="9"/>
      <c r="G33" s="12" t="str">
        <f aca="false">IF(A33="","",IFERROR(INDEX(Produtos!$B$5:$B$23,MATCH(A33,Produtos!$A$5:$A$23,0)),"Produto nao cadastrado"))</f>
        <v/>
      </c>
      <c r="H33" s="13" t="str">
        <f aca="false">IF(B33="","",IFERROR(VLOOKUP(LEFT(B33,1),Grupos_COSIF!$A$5:$B$12,2,FALSE()),"Outro"))</f>
        <v/>
      </c>
      <c r="I33" s="10" t="str">
        <f aca="false">IF(B33="","",B33&amp;" - ("&amp;TRIM(C33)&amp;")")</f>
        <v/>
      </c>
      <c r="J33" s="10" t="str">
        <f aca="false">IF(B33="","",IF(COUNTIF($B$5:$B$37,B33)&gt;1,"Sim","Nao"))</f>
        <v/>
      </c>
      <c r="K33" s="10" t="str">
        <f aca="false">IF(A33="","",IF(G33="Produto nao cadastrado","Cadastre o produto antes",IF(COUNTIFS($A$5:$A$37,A33,$B$5:$B$37,B33)&gt;1,"Par duplicado",IF(AND(LEN(A33)=4,LEN(B33)=11,LEN(C33)&lt;=6,OR(D33="A",D33="I")),"OK","Verificar tamanhos/status"))))</f>
        <v/>
      </c>
      <c r="L33" s="10" t="str">
        <f aca="false">IF(A33="","","MERGE INTO PRODUTO_COSIF (COD_PRODUTO, COD_COSIF, COD_CLASSIFICACAO, STA_STATUS) KEY (COD_PRODUTO, COD_COSIF) VALUES ('"&amp;A33&amp;"', '"&amp;B33&amp;"', '"&amp;C33&amp;"', '"&amp;D33&amp;"');")</f>
        <v/>
      </c>
    </row>
    <row r="34" customFormat="false" ht="15" hidden="false" customHeight="false" outlineLevel="0" collapsed="false">
      <c r="A34" s="9"/>
      <c r="B34" s="9"/>
      <c r="C34" s="9"/>
      <c r="D34" s="9"/>
      <c r="E34" s="11"/>
      <c r="F34" s="9"/>
      <c r="G34" s="12" t="str">
        <f aca="false">IF(A34="","",IFERROR(INDEX(Produtos!$B$5:$B$23,MATCH(A34,Produtos!$A$5:$A$23,0)),"Produto nao cadastrado"))</f>
        <v/>
      </c>
      <c r="H34" s="13" t="str">
        <f aca="false">IF(B34="","",IFERROR(VLOOKUP(LEFT(B34,1),Grupos_COSIF!$A$5:$B$12,2,FALSE()),"Outro"))</f>
        <v/>
      </c>
      <c r="I34" s="10" t="str">
        <f aca="false">IF(B34="","",B34&amp;" - ("&amp;TRIM(C34)&amp;")")</f>
        <v/>
      </c>
      <c r="J34" s="10" t="str">
        <f aca="false">IF(B34="","",IF(COUNTIF($B$5:$B$37,B34)&gt;1,"Sim","Nao"))</f>
        <v/>
      </c>
      <c r="K34" s="10" t="str">
        <f aca="false">IF(A34="","",IF(G34="Produto nao cadastrado","Cadastre o produto antes",IF(COUNTIFS($A$5:$A$37,A34,$B$5:$B$37,B34)&gt;1,"Par duplicado",IF(AND(LEN(A34)=4,LEN(B34)=11,LEN(C34)&lt;=6,OR(D34="A",D34="I")),"OK","Verificar tamanhos/status"))))</f>
        <v/>
      </c>
      <c r="L34" s="10" t="str">
        <f aca="false">IF(A34="","","MERGE INTO PRODUTO_COSIF (COD_PRODUTO, COD_COSIF, COD_CLASSIFICACAO, STA_STATUS) KEY (COD_PRODUTO, COD_COSIF) VALUES ('"&amp;A34&amp;"', '"&amp;B34&amp;"', '"&amp;C34&amp;"', '"&amp;D34&amp;"');")</f>
        <v/>
      </c>
    </row>
    <row r="35" customFormat="false" ht="15" hidden="false" customHeight="false" outlineLevel="0" collapsed="false">
      <c r="A35" s="9"/>
      <c r="B35" s="9"/>
      <c r="C35" s="9"/>
      <c r="D35" s="9"/>
      <c r="E35" s="11"/>
      <c r="F35" s="9"/>
      <c r="G35" s="12" t="str">
        <f aca="false">IF(A35="","",IFERROR(INDEX(Produtos!$B$5:$B$23,MATCH(A35,Produtos!$A$5:$A$23,0)),"Produto nao cadastrado"))</f>
        <v/>
      </c>
      <c r="H35" s="13" t="str">
        <f aca="false">IF(B35="","",IFERROR(VLOOKUP(LEFT(B35,1),Grupos_COSIF!$A$5:$B$12,2,FALSE()),"Outro"))</f>
        <v/>
      </c>
      <c r="I35" s="10" t="str">
        <f aca="false">IF(B35="","",B35&amp;" - ("&amp;TRIM(C35)&amp;")")</f>
        <v/>
      </c>
      <c r="J35" s="10" t="str">
        <f aca="false">IF(B35="","",IF(COUNTIF($B$5:$B$37,B35)&gt;1,"Sim","Nao"))</f>
        <v/>
      </c>
      <c r="K35" s="10" t="str">
        <f aca="false">IF(A35="","",IF(G35="Produto nao cadastrado","Cadastre o produto antes",IF(COUNTIFS($A$5:$A$37,A35,$B$5:$B$37,B35)&gt;1,"Par duplicado",IF(AND(LEN(A35)=4,LEN(B35)=11,LEN(C35)&lt;=6,OR(D35="A",D35="I")),"OK","Verificar tamanhos/status"))))</f>
        <v/>
      </c>
      <c r="L35" s="10" t="str">
        <f aca="false">IF(A35="","","MERGE INTO PRODUTO_COSIF (COD_PRODUTO, COD_COSIF, COD_CLASSIFICACAO, STA_STATUS) KEY (COD_PRODUTO, COD_COSIF) VALUES ('"&amp;A35&amp;"', '"&amp;B35&amp;"', '"&amp;C35&amp;"', '"&amp;D35&amp;"');")</f>
        <v/>
      </c>
    </row>
    <row r="36" customFormat="false" ht="15" hidden="false" customHeight="false" outlineLevel="0" collapsed="false">
      <c r="A36" s="9"/>
      <c r="B36" s="9"/>
      <c r="C36" s="9"/>
      <c r="D36" s="9"/>
      <c r="E36" s="11"/>
      <c r="F36" s="9"/>
      <c r="G36" s="12" t="str">
        <f aca="false">IF(A36="","",IFERROR(INDEX(Produtos!$B$5:$B$23,MATCH(A36,Produtos!$A$5:$A$23,0)),"Produto nao cadastrado"))</f>
        <v/>
      </c>
      <c r="H36" s="13" t="str">
        <f aca="false">IF(B36="","",IFERROR(VLOOKUP(LEFT(B36,1),Grupos_COSIF!$A$5:$B$12,2,FALSE()),"Outro"))</f>
        <v/>
      </c>
      <c r="I36" s="10" t="str">
        <f aca="false">IF(B36="","",B36&amp;" - ("&amp;TRIM(C36)&amp;")")</f>
        <v/>
      </c>
      <c r="J36" s="10" t="str">
        <f aca="false">IF(B36="","",IF(COUNTIF($B$5:$B$37,B36)&gt;1,"Sim","Nao"))</f>
        <v/>
      </c>
      <c r="K36" s="10" t="str">
        <f aca="false">IF(A36="","",IF(G36="Produto nao cadastrado","Cadastre o produto antes",IF(COUNTIFS($A$5:$A$37,A36,$B$5:$B$37,B36)&gt;1,"Par duplicado",IF(AND(LEN(A36)=4,LEN(B36)=11,LEN(C36)&lt;=6,OR(D36="A",D36="I")),"OK","Verificar tamanhos/status"))))</f>
        <v/>
      </c>
      <c r="L36" s="10" t="str">
        <f aca="false">IF(A36="","","MERGE INTO PRODUTO_COSIF (COD_PRODUTO, COD_COSIF, COD_CLASSIFICACAO, STA_STATUS) KEY (COD_PRODUTO, COD_COSIF) VALUES ('"&amp;A36&amp;"', '"&amp;B36&amp;"', '"&amp;C36&amp;"', '"&amp;D36&amp;"');")</f>
        <v/>
      </c>
    </row>
    <row r="37" customFormat="false" ht="15" hidden="false" customHeight="false" outlineLevel="0" collapsed="false">
      <c r="A37" s="9"/>
      <c r="B37" s="9"/>
      <c r="C37" s="9"/>
      <c r="D37" s="9"/>
      <c r="E37" s="11"/>
      <c r="F37" s="9"/>
      <c r="G37" s="12" t="str">
        <f aca="false">IF(A37="","",IFERROR(INDEX(Produtos!$B$5:$B$23,MATCH(A37,Produtos!$A$5:$A$23,0)),"Produto nao cadastrado"))</f>
        <v/>
      </c>
      <c r="H37" s="13" t="str">
        <f aca="false">IF(B37="","",IFERROR(VLOOKUP(LEFT(B37,1),Grupos_COSIF!$A$5:$B$12,2,FALSE()),"Outro"))</f>
        <v/>
      </c>
      <c r="I37" s="10" t="str">
        <f aca="false">IF(B37="","",B37&amp;" - ("&amp;TRIM(C37)&amp;")")</f>
        <v/>
      </c>
      <c r="J37" s="10" t="str">
        <f aca="false">IF(B37="","",IF(COUNTIF($B$5:$B$37,B37)&gt;1,"Sim","Nao"))</f>
        <v/>
      </c>
      <c r="K37" s="10" t="str">
        <f aca="false">IF(A37="","",IF(G37="Produto nao cadastrado","Cadastre o produto antes",IF(COUNTIFS($A$5:$A$37,A37,$B$5:$B$37,B37)&gt;1,"Par duplicado",IF(AND(LEN(A37)=4,LEN(B37)=11,LEN(C37)&lt;=6,OR(D37="A",D37="I")),"OK","Verificar tamanhos/status"))))</f>
        <v/>
      </c>
      <c r="L37" s="10" t="str">
        <f aca="false">IF(A37="","","MERGE INTO PRODUTO_COSIF (COD_PRODUTO, COD_COSIF, COD_CLASSIFICACAO, STA_STATUS) KEY (COD_PRODUTO, COD_COSIF) VALUES ('"&amp;A37&amp;"', '"&amp;B37&amp;"', '"&amp;C37&amp;"', '"&amp;D37&amp;"');")</f>
        <v/>
      </c>
    </row>
  </sheetData>
  <autoFilter ref="A4:L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124</v>
      </c>
    </row>
    <row r="2" customFormat="false" ht="15" hidden="false" customHeight="false" outlineLevel="0" collapsed="false">
      <c r="A2" s="2" t="s">
        <v>125</v>
      </c>
    </row>
    <row r="4" customFormat="false" ht="30" hidden="false" customHeight="true" outlineLevel="0" collapsed="false">
      <c r="A4" s="8" t="s">
        <v>126</v>
      </c>
      <c r="B4" s="8" t="s">
        <v>127</v>
      </c>
      <c r="C4" s="8" t="s">
        <v>128</v>
      </c>
    </row>
    <row r="5" customFormat="false" ht="15" hidden="false" customHeight="false" outlineLevel="0" collapsed="false">
      <c r="A5" s="14" t="s">
        <v>129</v>
      </c>
      <c r="B5" s="14" t="s">
        <v>130</v>
      </c>
      <c r="C5" s="14" t="s">
        <v>131</v>
      </c>
    </row>
    <row r="6" customFormat="false" ht="15" hidden="false" customHeight="false" outlineLevel="0" collapsed="false">
      <c r="A6" s="14" t="s">
        <v>132</v>
      </c>
      <c r="B6" s="14" t="s">
        <v>133</v>
      </c>
      <c r="C6" s="14" t="s">
        <v>134</v>
      </c>
    </row>
    <row r="7" customFormat="false" ht="15" hidden="false" customHeight="false" outlineLevel="0" collapsed="false">
      <c r="A7" s="14" t="s">
        <v>135</v>
      </c>
      <c r="B7" s="14" t="s">
        <v>136</v>
      </c>
      <c r="C7" s="14" t="s">
        <v>137</v>
      </c>
    </row>
    <row r="8" customFormat="false" ht="15" hidden="false" customHeight="false" outlineLevel="0" collapsed="false">
      <c r="A8" s="14" t="s">
        <v>138</v>
      </c>
      <c r="B8" s="14" t="s">
        <v>139</v>
      </c>
      <c r="C8" s="14" t="s">
        <v>140</v>
      </c>
    </row>
    <row r="9" customFormat="false" ht="15" hidden="false" customHeight="false" outlineLevel="0" collapsed="false">
      <c r="A9" s="14" t="s">
        <v>141</v>
      </c>
      <c r="B9" s="14" t="s">
        <v>142</v>
      </c>
      <c r="C9" s="14" t="s">
        <v>143</v>
      </c>
    </row>
    <row r="10" customFormat="false" ht="15" hidden="false" customHeight="false" outlineLevel="0" collapsed="false">
      <c r="A10" s="14" t="s">
        <v>144</v>
      </c>
      <c r="B10" s="14" t="s">
        <v>145</v>
      </c>
      <c r="C10" s="14" t="s">
        <v>146</v>
      </c>
    </row>
    <row r="11" customFormat="false" ht="15" hidden="false" customHeight="false" outlineLevel="0" collapsed="false">
      <c r="A11" s="14" t="s">
        <v>147</v>
      </c>
      <c r="B11" s="14" t="s">
        <v>148</v>
      </c>
      <c r="C11" s="14" t="s">
        <v>149</v>
      </c>
    </row>
    <row r="12" customFormat="false" ht="15" hidden="false" customHeight="false" outlineLevel="0" collapsed="false">
      <c r="A12" s="14" t="s">
        <v>150</v>
      </c>
      <c r="B12" s="14" t="s">
        <v>151</v>
      </c>
      <c r="C12" s="14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2026-10-22T15:00:59Z</dcterms:created>
  <dc:creator>openpyxl</dc:creator>
  <dc:description/>
  <dc:language>en-US</dc:language>
  <cp:lastModifiedBy/>
  <dcterms:modified xsi:type="dcterms:W3CDTF">2026-10-22T15:00:59Z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